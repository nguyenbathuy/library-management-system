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comments/comment1.xml" ContentType="application/vnd.openxmlformats-officedocument.spreadsheetml.comments+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est Results" sheetId="2" state="visible" r:id="rId2"/>
    <sheet xmlns:r="http://schemas.openxmlformats.org/officeDocument/2006/relationships" name="Metrics" sheetId="3" state="visible" r:id="rId3"/>
    <sheet xmlns:r="http://schemas.openxmlformats.org/officeDocument/2006/relationships" name="By Module" sheetId="4" state="visible" r:id="rId4"/>
    <sheet xmlns:r="http://schemas.openxmlformats.org/officeDocument/2006/relationships" name="Review Queue" sheetId="5" state="visible" r:id="rId5"/>
    <sheet xmlns:r="http://schemas.openxmlformats.org/officeDocument/2006/relationships" name="Evidence Gaps" sheetId="6" state="visible" r:id="rId6"/>
    <sheet xmlns:r="http://schemas.openxmlformats.org/officeDocument/2006/relationships" name="Source Runs" sheetId="7" state="visible" r:id="rId7"/>
    <sheet xmlns:r="http://schemas.openxmlformats.org/officeDocument/2006/relationships" name="Evidence Manifest" sheetId="8" state="visible" r:id="rId8"/>
    <sheet xmlns:r="http://schemas.openxmlformats.org/officeDocument/2006/relationships" name="Split Proposals" sheetId="9" state="visible" r:id="rId9"/>
    <sheet xmlns:r="http://schemas.openxmlformats.org/officeDocument/2006/relationships" name="Improvement Notes" sheetId="10" state="visible" r:id="rId10"/>
  </sheets>
  <definedNames>
    <definedName name="_xlnm.Print_Titles" localSheetId="0">'Readme'!$1:$1</definedName>
    <definedName name="_xlnm.Print_Titles" localSheetId="1">'Test Results'!$1:$1</definedName>
    <definedName name="_xlnm._FilterDatabase" localSheetId="2" hidden="1">'Metrics'!$A$1:$C$18</definedName>
    <definedName name="_xlnm.Print_Titles" localSheetId="2">'Metrics'!$1:$1</definedName>
    <definedName name="_xlnm.Print_Titles" localSheetId="3">'By Module'!$1:$1</definedName>
    <definedName name="_xlnm.Print_Titles" localSheetId="4">'Review Queue'!$1:$1</definedName>
    <definedName name="_xlnm.Print_Titles" localSheetId="5">'Evidence Gaps'!$1:$1</definedName>
    <definedName name="_xlnm.Print_Titles" localSheetId="6">'Source Runs'!$1:$1</definedName>
    <definedName name="_xlnm.Print_Titles" localSheetId="7">'Evidence Manifest'!$1:$1</definedName>
    <definedName name="_xlnm.Print_Titles" localSheetId="8">'Split Proposals'!$1:$1</definedName>
    <definedName name="_xlnm.Print_Titles" localSheetId="9">'Improvement Notes'!$1:$1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1"/>
    </font>
    <font>
      <name val="Calibri"/>
      <b val="1"/>
      <sz val="11"/>
    </font>
    <font>
      <name val="Calibri"/>
      <i val="1"/>
      <sz val="11"/>
    </font>
  </fonts>
  <fills count="11">
    <fill>
      <patternFill/>
    </fill>
    <fill>
      <patternFill patternType="gray125"/>
    </fill>
    <fill>
      <patternFill patternType="solid">
        <fgColor rgb="0017365D"/>
      </patternFill>
    </fill>
    <fill>
      <patternFill patternType="solid">
        <fgColor rgb="00F1F4F8"/>
      </patternFill>
    </fill>
    <fill>
      <patternFill patternType="solid">
        <fgColor rgb="00E2F0D9"/>
      </patternFill>
    </fill>
    <fill>
      <patternFill patternType="solid">
        <fgColor rgb="00FFE699"/>
      </patternFill>
    </fill>
    <fill>
      <patternFill patternType="solid">
        <fgColor rgb="00E7E6E6"/>
      </patternFill>
    </fill>
    <fill>
      <patternFill patternType="solid">
        <fgColor rgb="00FCE4D6"/>
      </patternFill>
    </fill>
    <fill>
      <patternFill patternType="solid">
        <fgColor rgb="0000FF00"/>
      </patternFill>
    </fill>
    <fill>
      <patternFill patternType="solid">
        <fgColor rgb="00FF9900"/>
      </patternFill>
    </fill>
    <fill>
      <patternFill patternType="solid">
        <fgColor rgb="00FF0000"/>
      </patternFill>
    </fill>
  </fills>
  <borders count="1">
    <border>
      <left/>
      <right/>
      <top/>
      <bottom/>
      <diagonal/>
    </border>
  </borders>
  <cellStyleXfs count="1">
    <xf numFmtId="0" fontId="0" fillId="0" borderId="0"/>
  </cellStyleXfs>
  <cellXfs count="19">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pivotButton="0" quotePrefix="0" xfId="0">
      <alignment vertical="top" wrapText="1"/>
    </xf>
    <xf numFmtId="0" fontId="3" fillId="4" borderId="0" applyAlignment="1" pivotButton="0" quotePrefix="0" xfId="0">
      <alignment vertical="top" wrapText="1"/>
    </xf>
    <xf numFmtId="0" fontId="2" fillId="5" borderId="0" applyAlignment="1" pivotButton="0" quotePrefix="0" xfId="0">
      <alignment vertical="top" wrapText="1"/>
    </xf>
    <xf numFmtId="0" fontId="3" fillId="5" borderId="0" applyAlignment="1" pivotButton="0" quotePrefix="0" xfId="0">
      <alignment vertical="top" wrapText="1"/>
    </xf>
    <xf numFmtId="0" fontId="2" fillId="6" borderId="0" applyAlignment="1" pivotButton="0" quotePrefix="0" xfId="0">
      <alignment vertical="top" wrapText="1"/>
    </xf>
    <xf numFmtId="0" fontId="3" fillId="6" borderId="0" applyAlignment="1" pivotButton="0" quotePrefix="0" xfId="0">
      <alignment vertical="top" wrapText="1"/>
    </xf>
    <xf numFmtId="0" fontId="2" fillId="7" borderId="0" applyAlignment="1" pivotButton="0" quotePrefix="0" xfId="0">
      <alignment vertical="top" wrapText="1"/>
    </xf>
    <xf numFmtId="0" fontId="3" fillId="7" borderId="0" applyAlignment="1" pivotButton="0" quotePrefix="0" xfId="0">
      <alignment vertical="top" wrapText="1"/>
    </xf>
    <xf numFmtId="10" fontId="2" fillId="3" borderId="0" applyAlignment="1" pivotButton="0" quotePrefix="0" xfId="0">
      <alignment vertical="top" wrapText="1"/>
    </xf>
    <xf numFmtId="10" fontId="2" fillId="0" borderId="0" applyAlignment="1" pivotButton="0" quotePrefix="0" xfId="0">
      <alignment vertical="top" wrapText="1"/>
    </xf>
    <xf numFmtId="0" fontId="2" fillId="8" borderId="0" applyAlignment="1" pivotButton="0" quotePrefix="0" xfId="0">
      <alignment vertical="top" wrapText="1"/>
    </xf>
    <xf numFmtId="0" fontId="4" fillId="0" borderId="0" applyAlignment="1" pivotButton="0" quotePrefix="0" xfId="0">
      <alignment vertical="top" wrapText="1"/>
    </xf>
    <xf numFmtId="0" fontId="2" fillId="9" borderId="0" applyAlignment="1" pivotButton="0" quotePrefix="0" xfId="0">
      <alignment vertical="top" wrapText="1"/>
    </xf>
    <xf numFmtId="0" fontId="4" fillId="3" borderId="0" applyAlignment="1" pivotButton="0" quotePrefix="0" xfId="0">
      <alignment vertical="top" wrapText="1"/>
    </xf>
    <xf numFmtId="0" fontId="2" fillId="1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QA normalization</author>
  </authors>
  <commentList>
    <comment ref="M2" authorId="0" shapeId="0">
      <text>
        <t>Ghi chú nguyên văn; các đoạn in nghiêng được giữ trong Source Runs và JSON nguồn. QA Assessment là phân tích riêng.</t>
      </text>
    </comment>
    <comment ref="M3" authorId="0" shapeId="0">
      <text>
        <t>Ghi chú nguyên văn; các đoạn in nghiêng được giữ trong Source Runs và JSON nguồn. QA Assessment là phân tích riêng.</t>
      </text>
    </comment>
    <comment ref="M4" authorId="0" shapeId="0">
      <text>
        <t>Ghi chú nguyên văn; các đoạn in nghiêng được giữ trong Source Runs và JSON nguồn. QA Assessment là phân tích riêng.</t>
      </text>
    </comment>
    <comment ref="M5" authorId="0" shapeId="0">
      <text>
        <t>Ghi chú nguyên văn; các đoạn in nghiêng được giữ trong Source Runs và JSON nguồn. QA Assessment là phân tích riêng.</t>
      </text>
    </comment>
    <comment ref="M6" authorId="0" shapeId="0">
      <text>
        <t>Ghi chú nguyên văn; các đoạn in nghiêng được giữ trong Source Runs và JSON nguồn. QA Assessment là phân tích riêng.</t>
      </text>
    </comment>
    <comment ref="M7" authorId="0" shapeId="0">
      <text>
        <t>Ghi chú nguyên văn; các đoạn in nghiêng được giữ trong Source Runs và JSON nguồn. QA Assessment là phân tích riêng.</t>
      </text>
    </comment>
    <comment ref="M8" authorId="0" shapeId="0">
      <text>
        <t>Ghi chú nguyên văn; các đoạn in nghiêng được giữ trong Source Runs và JSON nguồn. QA Assessment là phân tích riêng.</t>
      </text>
    </comment>
    <comment ref="M9" authorId="0" shapeId="0">
      <text>
        <t>Ghi chú nguyên văn; các đoạn in nghiêng được giữ trong Source Runs và JSON nguồn. QA Assessment là phân tích riêng.</t>
      </text>
    </comment>
    <comment ref="M10" authorId="0" shapeId="0">
      <text>
        <t>Ghi chú nguyên văn; các đoạn in nghiêng được giữ trong Source Runs và JSON nguồn. QA Assessment là phân tích riêng.</t>
      </text>
    </comment>
    <comment ref="M11" authorId="0" shapeId="0">
      <text>
        <t>Ghi chú nguyên văn; các đoạn in nghiêng được giữ trong Source Runs và JSON nguồn. QA Assessment là phân tích riêng.</t>
      </text>
    </comment>
    <comment ref="M12" authorId="0" shapeId="0">
      <text>
        <t>Ghi chú nguyên văn; các đoạn in nghiêng được giữ trong Source Runs và JSON nguồn. QA Assessment là phân tích riêng.</t>
      </text>
    </comment>
    <comment ref="M13" authorId="0" shapeId="0">
      <text>
        <t>Ghi chú nguyên văn; các đoạn in nghiêng được giữ trong Source Runs và JSON nguồn. QA Assessment là phân tích riêng.</t>
      </text>
    </comment>
    <comment ref="M14" authorId="0" shapeId="0">
      <text>
        <t>Ghi chú nguyên văn; các đoạn in nghiêng được giữ trong Source Runs và JSON nguồn. QA Assessment là phân tích riêng.</t>
      </text>
    </comment>
    <comment ref="M15" authorId="0" shapeId="0">
      <text>
        <t>Ghi chú nguyên văn; các đoạn in nghiêng được giữ trong Source Runs và JSON nguồn. QA Assessment là phân tích riêng.</t>
      </text>
    </comment>
    <comment ref="M16" authorId="0" shapeId="0">
      <text>
        <t>Ghi chú nguyên văn; các đoạn in nghiêng được giữ trong Source Runs và JSON nguồn. QA Assessment là phân tích riêng.</t>
      </text>
    </comment>
    <comment ref="M17" authorId="0" shapeId="0">
      <text>
        <t>Ghi chú nguyên văn; các đoạn in nghiêng được giữ trong Source Runs và JSON nguồn. QA Assessment là phân tích riêng.</t>
      </text>
    </comment>
    <comment ref="M18" authorId="0" shapeId="0">
      <text>
        <t>Ghi chú nguyên văn; các đoạn in nghiêng được giữ trong Source Runs và JSON nguồn. QA Assessment là phân tích riêng.</t>
      </text>
    </comment>
    <comment ref="M19" authorId="0" shapeId="0">
      <text>
        <t>Ghi chú nguyên văn; các đoạn in nghiêng được giữ trong Source Runs và JSON nguồn. QA Assessment là phân tích riêng.</t>
      </text>
    </comment>
    <comment ref="M20" authorId="0" shapeId="0">
      <text>
        <t>Ghi chú nguyên văn; các đoạn in nghiêng được giữ trong Source Runs và JSON nguồn. QA Assessment là phân tích riêng.</t>
      </text>
    </comment>
    <comment ref="M21" authorId="0" shapeId="0">
      <text>
        <t>Ghi chú nguyên văn; các đoạn in nghiêng được giữ trong Source Runs và JSON nguồn. QA Assessment là phân tích riêng.</t>
      </text>
    </comment>
    <comment ref="M22" authorId="0" shapeId="0">
      <text>
        <t>Ghi chú nguyên văn; các đoạn in nghiêng được giữ trong Source Runs và JSON nguồn. QA Assessment là phân tích riêng.</t>
      </text>
    </comment>
    <comment ref="M23" authorId="0" shapeId="0">
      <text>
        <t>Ghi chú nguyên văn; các đoạn in nghiêng được giữ trong Source Runs và JSON nguồn. QA Assessment là phân tích riêng.</t>
      </text>
    </comment>
    <comment ref="M24" authorId="0" shapeId="0">
      <text>
        <t>Ghi chú nguyên văn; các đoạn in nghiêng được giữ trong Source Runs và JSON nguồn. QA Assessment là phân tích riêng.</t>
      </text>
    </comment>
    <comment ref="M25" authorId="0" shapeId="0">
      <text>
        <t>Ghi chú nguyên văn; các đoạn in nghiêng được giữ trong Source Runs và JSON nguồn. QA Assessment là phân tích riêng.</t>
      </text>
    </comment>
    <comment ref="M26" authorId="0" shapeId="0">
      <text>
        <t>Ghi chú nguyên văn; các đoạn in nghiêng được giữ trong Source Runs và JSON nguồn. QA Assessment là phân tích riêng.</t>
      </text>
    </comment>
    <comment ref="M27" authorId="0" shapeId="0">
      <text>
        <t>Ghi chú nguyên văn; các đoạn in nghiêng được giữ trong Source Runs và JSON nguồn. QA Assessment là phân tích riêng.</t>
      </text>
    </comment>
    <comment ref="M28" authorId="0" shapeId="0">
      <text>
        <t>Ghi chú nguyên văn; các đoạn in nghiêng được giữ trong Source Runs và JSON nguồn. QA Assessment là phân tích riêng.</t>
      </text>
    </comment>
    <comment ref="M29" authorId="0" shapeId="0">
      <text>
        <t>Ghi chú nguyên văn; các đoạn in nghiêng được giữ trong Source Runs và JSON nguồn. QA Assessment là phân tích riêng.</t>
      </text>
    </comment>
    <comment ref="M30" authorId="0" shapeId="0">
      <text>
        <t>Ghi chú nguyên văn; các đoạn in nghiêng được giữ trong Source Runs và JSON nguồn. QA Assessment là phân tích riêng.</t>
      </text>
    </comment>
    <comment ref="M31" authorId="0" shapeId="0">
      <text>
        <t>Ghi chú nguyên văn; các đoạn in nghiêng được giữ trong Source Runs và JSON nguồn. QA Assessment là phân tích riêng.</t>
      </text>
    </comment>
    <comment ref="M32" authorId="0" shapeId="0">
      <text>
        <t>Ghi chú nguyên văn; các đoạn in nghiêng được giữ trong Source Runs và JSON nguồn. QA Assessment là phân tích riêng.</t>
      </text>
    </comment>
    <comment ref="M33" authorId="0" shapeId="0">
      <text>
        <t>Ghi chú nguyên văn; các đoạn in nghiêng được giữ trong Source Runs và JSON nguồn. QA Assessment là phân tích riêng.</t>
      </text>
    </comment>
    <comment ref="M34" authorId="0" shapeId="0">
      <text>
        <t>Ghi chú nguyên văn; các đoạn in nghiêng được giữ trong Source Runs và JSON nguồn. QA Assessment là phân tích riêng.</t>
      </text>
    </comment>
    <comment ref="M35" authorId="0" shapeId="0">
      <text>
        <t>Ghi chú nguyên văn; các đoạn in nghiêng được giữ trong Source Runs và JSON nguồn. QA Assessment là phân tích riêng.</t>
      </text>
    </comment>
    <comment ref="M36" authorId="0" shapeId="0">
      <text>
        <t>Ghi chú nguyên văn; các đoạn in nghiêng được giữ trong Source Runs và JSON nguồn. QA Assessment là phân tích riêng.</t>
      </text>
    </comment>
    <comment ref="M37" authorId="0" shapeId="0">
      <text>
        <t>Ghi chú nguyên văn; các đoạn in nghiêng được giữ trong Source Runs và JSON nguồn. QA Assessment là phân tích riêng.</t>
      </text>
    </comment>
    <comment ref="M38" authorId="0" shapeId="0">
      <text>
        <t>Ghi chú nguyên văn; các đoạn in nghiêng được giữ trong Source Runs và JSON nguồn. QA Assessment là phân tích riêng.</t>
      </text>
    </comment>
    <comment ref="M39" authorId="0" shapeId="0">
      <text>
        <t>Ghi chú nguyên văn; các đoạn in nghiêng được giữ trong Source Runs và JSON nguồn. QA Assessment là phân tích riêng.</t>
      </text>
    </comment>
    <comment ref="M40" authorId="0" shapeId="0">
      <text>
        <t>Ghi chú nguyên văn; các đoạn in nghiêng được giữ trong Source Runs và JSON nguồn. QA Assessment là phân tích riêng.</t>
      </text>
    </comment>
    <comment ref="M41" authorId="0" shapeId="0">
      <text>
        <t>Ghi chú nguyên văn; các đoạn in nghiêng được giữ trong Source Runs và JSON nguồn. QA Assessment là phân tích riêng.</t>
      </text>
    </comment>
    <comment ref="M42" authorId="0" shapeId="0">
      <text>
        <t>Ghi chú nguyên văn; các đoạn in nghiêng được giữ trong Source Runs và JSON nguồn. QA Assessment là phân tích riêng.</t>
      </text>
    </comment>
    <comment ref="M43" authorId="0" shapeId="0">
      <text>
        <t>Ghi chú nguyên văn; các đoạn in nghiêng được giữ trong Source Runs và JSON nguồn. QA Assessment là phân tích riêng.</t>
      </text>
    </comment>
    <comment ref="M44" authorId="0" shapeId="0">
      <text>
        <t>Ghi chú nguyên văn; các đoạn in nghiêng được giữ trong Source Runs và JSON nguồn. QA Assessment là phân tích riêng.</t>
      </text>
    </comment>
    <comment ref="M45" authorId="0" shapeId="0">
      <text>
        <t>Ghi chú nguyên văn; các đoạn in nghiêng được giữ trong Source Runs và JSON nguồn. QA Assessment là phân tích riêng.</t>
      </text>
    </comment>
  </commentList>
</comments>
</file>

<file path=xl/tables/table1.xml><?xml version="1.0" encoding="utf-8"?>
<table xmlns="http://schemas.openxmlformats.org/spreadsheetml/2006/main" id="1" name="ReadmeTable" displayName="ReadmeTable" ref="A1:B14" headerRowCount="1">
  <autoFilter ref="A1:B14"/>
  <tableColumns count="2">
    <tableColumn id="1" name="Mục"/>
    <tableColumn id="2" name="Quy ước / giới hạn"/>
  </tableColumns>
  <tableStyleInfo name="TableStyleMedium2" showRowStripes="1"/>
</table>
</file>

<file path=xl/tables/table2.xml><?xml version="1.0" encoding="utf-8"?>
<table xmlns="http://schemas.openxmlformats.org/spreadsheetml/2006/main" id="2" name="TestResultsTable" displayName="TestResultsTable" ref="A1:R45" headerRowCount="1">
  <autoFilter ref="A1:R45"/>
  <tableColumns count="18">
    <tableColumn id="1" name="Test ID"/>
    <tableColumn id="2" name="Module"/>
    <tableColumn id="3" name="Test Scenario"/>
    <tableColumn id="4" name="Preconditions"/>
    <tableColumn id="5" name="Test Data"/>
    <tableColumn id="6" name="Expected Result"/>
    <tableColumn id="7" name="Actual Result"/>
    <tableColumn id="8" name="Status"/>
    <tableColumn id="9" name="Review Flag"/>
    <tableColumn id="10" name="Defect ID"/>
    <tableColumn id="11" name="Severity"/>
    <tableColumn id="12" name="Evidence"/>
    <tableColumn id="13" name="Tester Notes"/>
    <tableColumn id="14" name="Source Reference"/>
    <tableColumn id="15" name="Test Date"/>
    <tableColumn id="16" name="Tested Commit"/>
    <tableColumn id="17" name="QA Assessment"/>
    <tableColumn id="18" name="Manual Marking"/>
  </tableColumns>
  <tableStyleInfo name="TableStyleMedium2" showRowStripes="1"/>
</table>
</file>

<file path=xl/tables/table3.xml><?xml version="1.0" encoding="utf-8"?>
<table xmlns="http://schemas.openxmlformats.org/spreadsheetml/2006/main" id="3" name="ByModuleTable" displayName="ByModuleTable" ref="A1:H12" headerRowCount="1">
  <autoFilter ref="A1:H12"/>
  <tableColumns count="8">
    <tableColumn id="1" name="Module"/>
    <tableColumn id="2" name="Original Total"/>
    <tableColumn id="3" name="PASS"/>
    <tableColumn id="4" name="FAIL"/>
    <tableColumn id="5" name="BLOCKED"/>
    <tableColumn id="6" name="NOT RUN"/>
    <tableColumn id="7" name="NEEDS_REVIEW"/>
    <tableColumn id="8" name="Executed"/>
  </tableColumns>
  <tableStyleInfo name="TableStyleMedium2" showRowStripes="1"/>
</table>
</file>

<file path=xl/tables/table4.xml><?xml version="1.0" encoding="utf-8"?>
<table xmlns="http://schemas.openxmlformats.org/spreadsheetml/2006/main" id="4" name="ReviewQueueTable" displayName="ReviewQueueTable" ref="A1:E8" headerRowCount="1">
  <autoFilter ref="A1:E8"/>
  <tableColumns count="5">
    <tableColumn id="1" name="Test ID"/>
    <tableColumn id="2" name="Recorded Actual"/>
    <tableColumn id="3" name="Reason / Tester Confirmation"/>
    <tableColumn id="4" name="Evidence"/>
    <tableColumn id="5" name="Source Reference"/>
  </tableColumns>
  <tableStyleInfo name="TableStyleMedium2" showRowStripes="1"/>
</table>
</file>

<file path=xl/tables/table5.xml><?xml version="1.0" encoding="utf-8"?>
<table xmlns="http://schemas.openxmlformats.org/spreadsheetml/2006/main" id="5" name="EvidenceGapsTable" displayName="EvidenceGapsTable" ref="A1:F36" headerRowCount="1">
  <autoFilter ref="A1:F36"/>
  <tableColumns count="6">
    <tableColumn id="1" name="Test ID"/>
    <tableColumn id="2" name="Gap Type"/>
    <tableColumn id="3" name="Result"/>
    <tableColumn id="4" name="Existing Evidence"/>
    <tableColumn id="5" name="Required Follow-up"/>
    <tableColumn id="6" name="Metadata Gap"/>
  </tableColumns>
  <tableStyleInfo name="TableStyleMedium2" showRowStripes="1"/>
</table>
</file>

<file path=xl/tables/table6.xml><?xml version="1.0" encoding="utf-8"?>
<table xmlns="http://schemas.openxmlformats.org/spreadsheetml/2006/main" id="6" name="SourceRunsTable" displayName="SourceRunsTable" ref="A1:H168" headerRowCount="1">
  <autoFilter ref="A1:H168"/>
  <tableColumns count="8">
    <tableColumn id="1" name="Mapped Test ID"/>
    <tableColumn id="2" name="Source Position"/>
    <tableColumn id="3" name="Text (verbatim)"/>
    <tableColumn id="4" name="Effective Color"/>
    <tableColumn id="5" name="Italic"/>
    <tableColumn id="6" name="Run Properties"/>
    <tableColumn id="7" name="Paragraph Mark Properties"/>
    <tableColumn id="8" name="Cell Properties"/>
  </tableColumns>
  <tableStyleInfo name="TableStyleMedium2" showRowStripes="1"/>
</table>
</file>

<file path=xl/tables/table7.xml><?xml version="1.0" encoding="utf-8"?>
<table xmlns="http://schemas.openxmlformats.org/spreadsheetml/2006/main" id="7" name="EvidenceManifestTable" displayName="EvidenceManifestTable" ref="A1:H25" headerRowCount="1">
  <autoFilter ref="A1:H25"/>
  <tableColumns count="8">
    <tableColumn id="1" name="Test ID"/>
    <tableColumn id="2" name="Source Position"/>
    <tableColumn id="3" name="Relationship ID"/>
    <tableColumn id="4" name="Original DOCX Part"/>
    <tableColumn id="5" name="Extracted File"/>
    <tableColumn id="6" name="SHA256"/>
    <tableColumn id="7" name="Visual Observation"/>
    <tableColumn id="8" name="Coverage Limit"/>
  </tableColumns>
  <tableStyleInfo name="TableStyleMedium2" showRowStripes="1"/>
</table>
</file>

<file path=xl/tables/table8.xml><?xml version="1.0" encoding="utf-8"?>
<table xmlns="http://schemas.openxmlformats.org/spreadsheetml/2006/main" id="8" name="SplitProposalsTable" displayName="SplitProposalsTable" ref="A1:D11" headerRowCount="1">
  <autoFilter ref="A1:D11"/>
  <tableColumns count="4">
    <tableColumn id="1" name="Original Test ID"/>
    <tableColumn id="2" name="Proposed Child IDs"/>
    <tableColumn id="3" name="Independent Cases"/>
    <tableColumn id="4" name="Constraint"/>
  </tableColumns>
  <tableStyleInfo name="TableStyleMedium2" showRowStripes="1"/>
</table>
</file>

<file path=xl/tables/table9.xml><?xml version="1.0" encoding="utf-8"?>
<table xmlns="http://schemas.openxmlformats.org/spreadsheetml/2006/main" id="9" name="ImprovementNotesTable" displayName="ImprovementNotesTable" ref="A1:F7" headerRowCount="1">
  <autoFilter ref="A1:F7"/>
  <tableColumns count="6">
    <tableColumn id="1" name="Note ID"/>
    <tableColumn id="2" name="Related Test ID"/>
    <tableColumn id="3" name="Topic"/>
    <tableColumn id="4" name="Tester Note (verbatim)"/>
    <tableColumn id="5" name="Source / Evidence"/>
    <tableColumn id="6" name="QA No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hyperlink" Target="evidence/AUTH-03_rId6_image8.png" TargetMode="External" Id="rId1"/><Relationship Type="http://schemas.openxmlformats.org/officeDocument/2006/relationships/hyperlink" Target="evidence/BOOK-01_rId7_image23.png" TargetMode="External" Id="rId2"/><Relationship Type="http://schemas.openxmlformats.org/officeDocument/2006/relationships/hyperlink" Target="evidence/BOOK-04_rId8_image14.png" TargetMode="External" Id="rId3"/><Relationship Type="http://schemas.openxmlformats.org/officeDocument/2006/relationships/hyperlink" Target="evidence/RES-01_rId9_image10.png" TargetMode="External" Id="rId4"/><Relationship Type="http://schemas.openxmlformats.org/officeDocument/2006/relationships/hyperlink" Target="evidence/RES-03_rId10_image22.png" TargetMode="External" Id="rId5"/><Relationship Type="http://schemas.openxmlformats.org/officeDocument/2006/relationships/hyperlink" Target="evidence/RES-04_rId11_image3.png" TargetMode="External" Id="rId6"/><Relationship Type="http://schemas.openxmlformats.org/officeDocument/2006/relationships/hyperlink" Target="evidence/RES-05_rId12_image9.png" TargetMode="External" Id="rId7"/><Relationship Type="http://schemas.openxmlformats.org/officeDocument/2006/relationships/hyperlink" Target="evidence/MEM-01_rId13_image2.png" TargetMode="External" Id="rId8"/><Relationship Type="http://schemas.openxmlformats.org/officeDocument/2006/relationships/hyperlink" Target="evidence/MEM-02_rId14_image24.png" TargetMode="External" Id="rId9"/><Relationship Type="http://schemas.openxmlformats.org/officeDocument/2006/relationships/hyperlink" Target="evidence/MEM-03_rId15_image18.png" TargetMode="External" Id="rId10"/><Relationship Type="http://schemas.openxmlformats.org/officeDocument/2006/relationships/hyperlink" Target="evidence/MEM-04_rId16_image20.png" TargetMode="External" Id="rId11"/><Relationship Type="http://schemas.openxmlformats.org/officeDocument/2006/relationships/hyperlink" Target="evidence/MEM-05_rId17_image12.png" TargetMode="External" Id="rId12"/><Relationship Type="http://schemas.openxmlformats.org/officeDocument/2006/relationships/hyperlink" Target="evidence/INV-01_rId19_image15.png" TargetMode="External" Id="rId13"/><Relationship Type="http://schemas.openxmlformats.org/officeDocument/2006/relationships/hyperlink" Target="evidence/INV-02_rId20_image11.png" TargetMode="External" Id="rId14"/><Relationship Type="http://schemas.openxmlformats.org/officeDocument/2006/relationships/hyperlink" Target="evidence/INV-03_rId21_image21.png" TargetMode="External" Id="rId15"/><Relationship Type="http://schemas.openxmlformats.org/officeDocument/2006/relationships/hyperlink" Target="evidence/INV-04_rId22_image19.png" TargetMode="External" Id="rId16"/><Relationship Type="http://schemas.openxmlformats.org/officeDocument/2006/relationships/hyperlink" Target="evidence/INV-05_rId23_image13.png" TargetMode="External" Id="rId17"/><Relationship Type="http://schemas.openxmlformats.org/officeDocument/2006/relationships/hyperlink" Target="evidence/DASH-01_rId25_image7.png" TargetMode="External" Id="rId18"/><Relationship Type="http://schemas.openxmlformats.org/officeDocument/2006/relationships/hyperlink" Target="evidence/NOTI-02_rId27_image17.png" TargetMode="External" Id="rId19"/><Relationship Type="http://schemas.openxmlformats.org/officeDocument/2006/relationships/hyperlink" Target="evidence/SET-01_rId28_image1.png" TargetMode="External" Id="rId20"/><Relationship Type="http://schemas.openxmlformats.org/officeDocument/2006/relationships/table" Target="/xl/tables/table2.xml" Id="rId2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outlinePr summaryBelow="1" summaryRight="1"/>
    <pageSetUpPr fitToPage="1"/>
  </sheetPr>
  <dimension ref="A1:B14"/>
  <sheetViews>
    <sheetView zoomScale="85" workbookViewId="0">
      <pane ySplit="1" topLeftCell="A2" activePane="bottomLeft" state="frozen"/>
      <selection pane="bottomLeft" activeCell="A1" sqref="A1"/>
    </sheetView>
  </sheetViews>
  <sheetFormatPr baseColWidth="8" defaultRowHeight="15"/>
  <cols>
    <col width="25" customWidth="1" min="1" max="1"/>
    <col width="115" customWidth="1" min="2" max="2"/>
  </cols>
  <sheetData>
    <row r="1" ht="32" customHeight="1">
      <c r="A1" s="1" t="inlineStr">
        <is>
          <t>Mục</t>
        </is>
      </c>
      <c r="B1" s="1" t="inlineStr">
        <is>
          <t>Quy ước / giới hạn</t>
        </is>
      </c>
    </row>
    <row r="2" ht="38" customHeight="1">
      <c r="A2" s="2" t="inlineStr">
        <is>
          <t>Phạm vi</t>
        </is>
      </c>
      <c r="B2" s="2" t="inlineStr">
        <is>
          <t>Đối chiếu 44 testcase gốc của Chương 3. Không thực thi lại ứng dụng. Không kết luận mượn/trả/gia hạn/tính phạt của thành viên khác.</t>
        </is>
      </c>
    </row>
    <row r="3" ht="38" customHeight="1">
      <c r="A3" s="3" t="inlineStr">
        <is>
          <t>Nguồn manual</t>
        </is>
      </c>
      <c r="B3" s="3" t="inlineStr">
        <is>
          <t>Dùng Kiểm thử phần mềm.docx thay Manual_Test_Notes.docx theo xác nhận trực tiếp của người dùng. Đọc OOXML đầy đủ, giữ nguồn gốc từng run và ảnh.</t>
        </is>
      </c>
    </row>
    <row r="4" ht="38" customHeight="1">
      <c r="A4" s="2" t="inlineStr">
        <is>
          <t>PASS xanh</t>
        </is>
      </c>
      <c r="B4" s="2" t="inlineStr">
        <is>
          <t>Chỉ khi màu xanh phủ toàn bộ nội dung mô tả/kỳ vọng và không có ghi chú phủ định Expected. Actual ghi rõ là xác nhận màu của Tester, không phải log thực thi chi tiết.</t>
        </is>
      </c>
    </row>
    <row r="5" ht="38" customHeight="1">
      <c r="A5" s="3" t="inlineStr">
        <is>
          <t>Cam/đỏ</t>
        </is>
      </c>
      <c r="B5" s="3" t="inlineStr">
        <is>
          <t>Cam đối chiếu đúng Expected; không suy ra trạng thái từ một run/ảnh/paragraph mark. Đỏ MEM-02 kết hợp ghi chú lỗi để đề xuất FAIL.</t>
        </is>
      </c>
    </row>
    <row r="6" ht="38" customHeight="1">
      <c r="A6" s="2" t="inlineStr">
        <is>
          <t>Trạng thái</t>
        </is>
      </c>
      <c r="B6" s="2" t="inlineStr">
        <is>
          <t>Chỉ PASS, FAIL, BLOCKED, NOT RUN. 7 ca NEEDS_REVIEW để trống Status. BLOCKED=0 vì không có ghi nhận lần chạy bị chặn. 7 ca không có kết quả giữ NOT RUN, cần Tester xác nhận đã chạy hay chưa.</t>
        </is>
      </c>
    </row>
    <row r="7" ht="38" customHeight="1">
      <c r="A7" s="3" t="inlineStr">
        <is>
          <t>Review Flag</t>
        </is>
      </c>
      <c r="B7" s="3" t="inlineStr">
        <is>
          <t>NEEDS_REVIEW là 7 ca chưa có trạng thái. EVIDENCE_MISSING, POTENTIAL_DEFECT, IMPROVEMENT_NOTE, TEST_DATA_DEVIATION/PARTIAL_BRANCH là chú ý phụ, không cộng vào 7 ca chưa phân loại.</t>
        </is>
      </c>
    </row>
    <row r="8" ht="53" customHeight="1">
      <c r="A8" s="2" t="inlineStr">
        <is>
          <t>Evidence</t>
        </is>
      </c>
      <c r="B8" s="2" t="inlineStr">
        <is>
          <t>Mọi ghi chú có Source Reference; Evidence Missing chỉ rõ thiếu screenshot/log/file kết quả trực tiếp, không phủ nhận tài liệu ghi chú tồn tại. 24 PNG trong evidence/ được trích byte-for-byte từ DOCX; không tạo ảnh mới. MEM-02 có ảnh form nhưng thiếu ảnh/log lỗi thực tế.</t>
        </is>
      </c>
    </row>
    <row r="9" ht="38" customHeight="1">
      <c r="A9" s="3" t="inlineStr">
        <is>
          <t>Ngày và commit</t>
        </is>
      </c>
      <c r="B9" s="3" t="inlineStr">
        <is>
          <t>Test Date, Tested Commit, Found/Fix Commit và Retest Result để trống. Ngày trong ảnh là dữ liệu tài khoản/xuất file, không tự coi là ngày test. Không lấy commit hiện tại làm commit đã test.</t>
        </is>
      </c>
    </row>
    <row r="10" ht="38" customHeight="1">
      <c r="A10" s="2" t="inlineStr">
        <is>
          <t>Dữ liệu/điều kiện</t>
        </is>
      </c>
      <c r="B10" s="2" t="inlineStr">
        <is>
          <t>Preconditions và Test Data có nhãn theo kế hoạch hoặc theo ảnh; không khẳng định Tester thực tế đã dùng dữ liệu chưa ghi. Scenario/Expected giữ nguyên văn báo cáo.</t>
        </is>
      </c>
    </row>
    <row r="11" ht="38" customHeight="1">
      <c r="A11" s="3" t="inlineStr">
        <is>
          <t>Metrics</t>
        </is>
      </c>
      <c r="B11" s="3" t="inlineStr">
        <is>
          <t>Bộ gốc 44; đã phân loại chính thức 37; NEEDS_REVIEW 7. PASS+FAIL+BLOCKED+NOT RUN=37. 37+7=44. Executed=30; Pass Rate=90%; Execution Rate bộ44=68,18%; phạm vi đã phân loại37=81,08%. Không tính BLOCKED/NOT RUN/blank vào Executed.</t>
        </is>
      </c>
    </row>
    <row r="12" ht="53" customHeight="1">
      <c r="A12" s="2" t="inlineStr">
        <is>
          <t>Defects</t>
        </is>
      </c>
      <c r="B12" s="2" t="inlineStr">
        <is>
          <t>3 defect chính thức dựa trên hành vi sai so với Expected. Severity/Priority chỉ đề xuất có giải thích. 5 potential defects tách riêng; không cộng vào confirmed. DEF-003 nhóm triệu chứng PDF, Dev cần tách nếu xác định nguyên nhân độc lập.</t>
        </is>
      </c>
    </row>
    <row r="13" ht="38" customHeight="1">
      <c r="A13" s="3" t="inlineStr">
        <is>
          <t>Source Reference</t>
        </is>
      </c>
      <c r="B13" s="3" t="inlineStr">
        <is>
          <t>B = vị trí phần tử trực tiếp trong w:body, tính từ 1 (bao gồm đoạn/bảng); P = đoạn; T/R/C = bảng/hàng/ô; run = phạm vi ký tự. Tham chiếu là cấu trúc DOCX gốc, không phải số trang của bản cập nhật.</t>
        </is>
      </c>
    </row>
    <row r="14" ht="38" customHeight="1">
      <c r="A14" s="2" t="inlineStr">
        <is>
          <t>Giới hạn</t>
        </is>
      </c>
      <c r="B14" s="2" t="inlineStr">
        <is>
          <t>Tất cả 44 ca thiếu ngày test/commit và cấu hình thực thi đầy đủ. Nhiều PASS chỉ có xác nhận xanh. Các kết quả là sơ bộ, chưa đủ kết luận cuối vòng hoặc nghiệm thu toàn dự án.</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R45"/>
  <sheetViews>
    <sheetView zoomScale="85"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2" customWidth="1" min="2" max="2"/>
    <col width="48" customWidth="1" min="3" max="3"/>
    <col width="42" customWidth="1" min="4" max="4"/>
    <col width="47" customWidth="1" min="5" max="5"/>
    <col width="49" customWidth="1" min="6" max="6"/>
    <col width="58" customWidth="1" min="7" max="7"/>
    <col width="14" customWidth="1" min="8" max="8"/>
    <col width="27" customWidth="1" min="9" max="9"/>
    <col width="16" customWidth="1" min="10" max="10"/>
    <col width="23" customWidth="1" min="11" max="11"/>
    <col width="53" customWidth="1" min="12" max="12"/>
    <col width="57" customWidth="1" min="13" max="13"/>
    <col width="49" customWidth="1" min="14" max="14"/>
    <col width="16" customWidth="1" min="15" max="15"/>
    <col width="19" customWidth="1" min="16" max="16"/>
    <col width="62" customWidth="1" min="17" max="17"/>
    <col width="28" customWidth="1" min="18" max="18"/>
  </cols>
  <sheetData>
    <row r="1" ht="32" customHeight="1">
      <c r="A1" s="1" t="inlineStr">
        <is>
          <t>Test ID</t>
        </is>
      </c>
      <c r="B1" s="1" t="inlineStr">
        <is>
          <t>Module</t>
        </is>
      </c>
      <c r="C1" s="1" t="inlineStr">
        <is>
          <t>Test Scenario</t>
        </is>
      </c>
      <c r="D1" s="1" t="inlineStr">
        <is>
          <t>Preconditions</t>
        </is>
      </c>
      <c r="E1" s="1" t="inlineStr">
        <is>
          <t>Test Data</t>
        </is>
      </c>
      <c r="F1" s="1" t="inlineStr">
        <is>
          <t>Expected Result</t>
        </is>
      </c>
      <c r="G1" s="1" t="inlineStr">
        <is>
          <t>Actual Result</t>
        </is>
      </c>
      <c r="H1" s="1" t="inlineStr">
        <is>
          <t>Status</t>
        </is>
      </c>
      <c r="I1" s="1" t="inlineStr">
        <is>
          <t>Review Flag</t>
        </is>
      </c>
      <c r="J1" s="1" t="inlineStr">
        <is>
          <t>Defect ID</t>
        </is>
      </c>
      <c r="K1" s="1" t="inlineStr">
        <is>
          <t>Severity</t>
        </is>
      </c>
      <c r="L1" s="1" t="inlineStr">
        <is>
          <t>Evidence</t>
        </is>
      </c>
      <c r="M1" s="1" t="inlineStr">
        <is>
          <t>Tester Notes</t>
        </is>
      </c>
      <c r="N1" s="1" t="inlineStr">
        <is>
          <t>Source Reference</t>
        </is>
      </c>
      <c r="O1" s="1" t="inlineStr">
        <is>
          <t>Test Date</t>
        </is>
      </c>
      <c r="P1" s="1" t="inlineStr">
        <is>
          <t>Tested Commit</t>
        </is>
      </c>
      <c r="Q1" s="1" t="inlineStr">
        <is>
          <t>QA Assessment</t>
        </is>
      </c>
      <c r="R1" s="1" t="inlineStr">
        <is>
          <t>Manual Marking</t>
        </is>
      </c>
    </row>
    <row r="2" ht="68" customHeight="1">
      <c r="A2" s="4" t="inlineStr">
        <is>
          <t>AUTH-01</t>
        </is>
      </c>
      <c r="B2" s="2" t="inlineStr">
        <is>
          <t>AUTH</t>
        </is>
      </c>
      <c r="C2" s="2" t="inlineStr">
        <is>
          <t>Đăng nhập đúng/sai: đăng nhập bằng tài khoản Admin, User; sau đó thử mật khẩu sai.</t>
        </is>
      </c>
      <c r="D2" s="2" t="inlineStr">
        <is>
          <t>Theo kế hoạch: tài khoản Admin/User hợp lệ; tài khoản thử riêng khi đổi mật khẩu; AUTH-06 cần email thử và cấu hình gửi mail. Việc chuẩn bị thực tế chưa ghi riêng.</t>
        </is>
      </c>
      <c r="E2" s="2" t="inlineStr">
        <is>
          <t>Dữ liệu theo kịch bản: Đăng nhập đúng/sai: đăng nhập bằng tài khoản Admin, User; sau đó thử mật khẩu sai. Giá trị thực tế chưa được ghi riêng.</t>
        </is>
      </c>
      <c r="F2" s="2" t="inlineStr">
        <is>
          <t>Đăng nhập đúng chuyển đến trang phù hợp với vai trò; mật khẩu sai có thông báo lỗi và không truy cập được hệ thống.</t>
        </is>
      </c>
      <c r="G2" s="2" t="inlineStr">
        <is>
          <t>Theo xác nhận màu xanh trên toàn bộ phần mô tả/kỳ vọng của Tester: đúng thì vào trang theo vai trò; sai thì có thông báo và không vào được.</t>
        </is>
      </c>
      <c r="H2" s="5" t="inlineStr">
        <is>
          <t>PASS</t>
        </is>
      </c>
      <c r="I2" s="4" t="inlineStr">
        <is>
          <t>POTENTIAL_DEFECT</t>
        </is>
      </c>
      <c r="J2" s="2" t="inlineStr"/>
      <c r="K2" s="2" t="inlineStr"/>
      <c r="L2" s="2" t="inlineStr">
        <is>
          <t>Nguồn văn bản/đánh dấu: Kiểm thử phần mềm.docx B2, B3
Evidence Missing: screenshot/log/file kết quả trực tiếp.</t>
        </is>
      </c>
      <c r="M2" s="2" t="inlineStr">
        <is>
          <r>
            <t> </t>
          </r>
          <r>
            <rPr>
              <rFont val="Calibri"/>
              <i val="1"/>
              <sz val="11"/>
            </rPr>
            <t>(sau khi nhập mật khẩu có yêu cầu OTP nhưng chỉ cần thoát popup đó và nhập lại mật khẩu thì lại vào được)</t>
          </r>
        </is>
      </c>
      <c r="N2" s="2" t="inlineStr">
        <is>
          <t>Nhom8-DGVKDCLPM_bao-cao-dang-test.docx B286/R2; Kiểm thử phần mềm.docx B2, B3</t>
        </is>
      </c>
      <c r="O2" s="2" t="n"/>
      <c r="P2" s="2" t="n"/>
      <c r="Q2" s="2" t="inlineStr">
        <is>
          <t>Đề xuất PASS từ xác nhận bằng văn bản màu xanh, không phải lần thực thi mới; chưa có nhật ký kết quả riêng cho từng bước. Ghi chú vượt OTP cần xác minh yêu cầu 2FA; Expected AUTH-01 không có OTP. Không kết luận bảo mật đạt từ PASS này.</t>
        </is>
      </c>
      <c r="R2" s="2" t="inlineStr">
        <is>
          <t>Xanh #00FF00</t>
        </is>
      </c>
    </row>
    <row r="3" ht="68" customHeight="1">
      <c r="A3" s="4" t="inlineStr">
        <is>
          <t>AUTH-02</t>
        </is>
      </c>
      <c r="B3" s="3" t="inlineStr">
        <is>
          <t>AUTH</t>
        </is>
      </c>
      <c r="C3" s="3" t="inlineStr">
        <is>
          <t>Đăng ký: tạo tài khoản bằng email thử chưa tồn tại, sau đó đăng ký lại bằng cùng email.</t>
        </is>
      </c>
      <c r="D3" s="3" t="inlineStr">
        <is>
          <t>Theo kế hoạch: tài khoản Admin/User hợp lệ; tài khoản thử riêng khi đổi mật khẩu; AUTH-06 cần email thử và cấu hình gửi mail. Việc chuẩn bị thực tế chưa ghi riêng.</t>
        </is>
      </c>
      <c r="E3" s="3" t="inlineStr">
        <is>
          <t>Dữ liệu theo kịch bản: Đăng ký: tạo tài khoản bằng email thử chưa tồn tại, sau đó đăng ký lại bằng cùng email. Giá trị thực tế chưa được ghi riêng.</t>
        </is>
      </c>
      <c r="F3" s="3" t="inlineStr">
        <is>
          <t>Lần đầu đăng ký thành công; lần sau bị từ chối và không tạo tài khoản trùng email.</t>
        </is>
      </c>
      <c r="G3" s="3" t="inlineStr">
        <is>
          <t>Theo xác nhận màu xanh trên toàn bộ phần mô tả/kỳ vọng của Tester: lần đầu thành công, lần sau bị từ chối.</t>
        </is>
      </c>
      <c r="H3" s="5" t="inlineStr">
        <is>
          <t>PASS</t>
        </is>
      </c>
      <c r="I3" s="4" t="inlineStr"/>
      <c r="J3" s="3" t="inlineStr"/>
      <c r="K3" s="3" t="inlineStr"/>
      <c r="L3" s="3" t="inlineStr">
        <is>
          <t>Nguồn văn bản/đánh dấu: Kiểm thử phần mềm.docx B4
Evidence Missing: screenshot/log/file kết quả trực tiếp.</t>
        </is>
      </c>
      <c r="M3" s="3" t="inlineStr"/>
      <c r="N3" s="3" t="inlineStr">
        <is>
          <t>Nhom8-DGVKDCLPM_bao-cao-dang-test.docx B286/R4; Kiểm thử phần mềm.docx B4</t>
        </is>
      </c>
      <c r="O3" s="3" t="n"/>
      <c r="P3" s="3" t="n"/>
      <c r="Q3" s="3" t="inlineStr">
        <is>
          <t>Đề xuất PASS từ xác nhận bằng văn bản màu xanh, không phải lần thực thi mới; chưa có nhật ký kết quả riêng cho từng bước.</t>
        </is>
      </c>
      <c r="R3" s="3" t="inlineStr">
        <is>
          <t>Xanh #00FF00</t>
        </is>
      </c>
    </row>
    <row r="4" ht="68" customHeight="1">
      <c r="A4" s="6" t="inlineStr">
        <is>
          <t>AUTH-03</t>
        </is>
      </c>
      <c r="B4" s="2" t="inlineStr">
        <is>
          <t>AUTH</t>
        </is>
      </c>
      <c r="C4" s="2" t="inlineStr">
        <is>
          <t>Đăng xuất: đăng xuất khỏi hệ thống rồi mở lại một trang yêu cầu xác thực.</t>
        </is>
      </c>
      <c r="D4" s="2" t="inlineStr">
        <is>
          <t>Theo kế hoạch: tài khoản Admin/User hợp lệ; tài khoản thử riêng khi đổi mật khẩu; AUTH-06 cần email thử và cấu hình gửi mail. Việc chuẩn bị thực tế chưa ghi riêng.</t>
        </is>
      </c>
      <c r="E4" s="2" t="inlineStr">
        <is>
          <t>Dữ liệu theo kịch bản: Đăng xuất: đăng xuất khỏi hệ thống rồi mở lại một trang yêu cầu xác thực. Giá trị thực tế chưa được ghi riêng.</t>
        </is>
      </c>
      <c r="F4" s="2" t="inlineStr">
        <is>
          <t>Phiên đăng nhập bị hủy; truy cập trang bảo vệ bị chuyển về /login.</t>
        </is>
      </c>
      <c r="G4" s="2" t="inlineStr">
        <is>
          <t>Ảnh cho thấy trang /login; Tester ghi chữ trắng chìm vào nền. Không có ghi nhận riêng việc phiên bị hủy và thử mở lại trang bảo vệ.</t>
        </is>
      </c>
      <c r="H4" s="7" t="n"/>
      <c r="I4" s="6" t="inlineStr">
        <is>
          <t>NEEDS_REVIEW</t>
        </is>
      </c>
      <c r="J4" s="2" t="inlineStr"/>
      <c r="K4" s="2" t="inlineStr"/>
      <c r="L4" s="2" t="inlineStr">
        <is>
          <t>evidence/AUTH-03_rId6_image8.png
Nguồn xác nhận: Kiểm thử phần mềm.docx B5, B6, B7
Giới hạn ảnh: rId6: Không ghi lại thao tác đăng xuất/hủy phiên hoặc mở lại trang bảo vệ.</t>
        </is>
      </c>
      <c r="M4" s="2" t="inlineStr">
        <is>
          <r>
            <rPr>
              <rFont val="Calibri"/>
              <i val="1"/>
              <sz val="11"/>
            </rPr>
            <t>trang đăng nhập màu chữ là màu trắng (chìm vào nền)</t>
          </r>
        </is>
      </c>
      <c r="N4" s="2" t="inlineStr">
        <is>
          <t>Nhom8-DGVKDCLPM_bao-cao-dang-test.docx B286/R6; Kiểm thử phần mềm.docx B5, B6, B7</t>
        </is>
      </c>
      <c r="O4" s="2" t="n"/>
      <c r="P4" s="2" t="n"/>
      <c r="Q4" s="2" t="inlineStr">
        <is>
          <t>Cần xác nhận cả hủy phiên và chuyển /login khi mở lại trang bảo vệ; lỗi màu chữ là ghi chú UX riêng.</t>
        </is>
      </c>
      <c r="R4" s="2" t="inlineStr">
        <is>
          <t>Cam #FF9900</t>
        </is>
      </c>
    </row>
    <row r="5" ht="68" customHeight="1">
      <c r="A5" s="4" t="inlineStr">
        <is>
          <t>AUTH-04</t>
        </is>
      </c>
      <c r="B5" s="3" t="inlineStr">
        <is>
          <t>AUTH</t>
        </is>
      </c>
      <c r="C5" s="3" t="inlineStr">
        <is>
          <t>Chặn trang quản trị: đăng nhập bằng User rồi mở trực tiếp /members, /borrowed, /inventory.</t>
        </is>
      </c>
      <c r="D5" s="3" t="inlineStr">
        <is>
          <t>Theo kế hoạch: tài khoản Admin/User hợp lệ; tài khoản thử riêng khi đổi mật khẩu; AUTH-06 cần email thử và cấu hình gửi mail. Việc chuẩn bị thực tế chưa ghi riêng.</t>
        </is>
      </c>
      <c r="E5" s="3" t="inlineStr">
        <is>
          <t>Dữ liệu theo kịch bản: Chặn trang quản trị: đăng nhập bằng User rồi mở trực tiếp /members, /borrowed, /inventory. Giá trị thực tế chưa được ghi riêng.</t>
        </is>
      </c>
      <c r="F5" s="3" t="inlineStr">
        <is>
          <t>User không được truy cập các trang quản trị; hệ thống hiển thị trang 403.</t>
        </is>
      </c>
      <c r="G5" s="3" t="inlineStr">
        <is>
          <t>Theo xác nhận màu xanh trên toàn bộ phần mô tả/kỳ vọng của Tester: hiện trang 403.</t>
        </is>
      </c>
      <c r="H5" s="5" t="inlineStr">
        <is>
          <t>PASS</t>
        </is>
      </c>
      <c r="I5" s="4" t="inlineStr"/>
      <c r="J5" s="3" t="inlineStr"/>
      <c r="K5" s="3" t="inlineStr"/>
      <c r="L5" s="3" t="inlineStr">
        <is>
          <t>Nguồn văn bản/đánh dấu: Kiểm thử phần mềm.docx B8
Evidence Missing: screenshot/log/file kết quả trực tiếp.</t>
        </is>
      </c>
      <c r="M5" s="3" t="inlineStr"/>
      <c r="N5" s="3" t="inlineStr">
        <is>
          <t>Nhom8-DGVKDCLPM_bao-cao-dang-test.docx B286/R8; Kiểm thử phần mềm.docx B8</t>
        </is>
      </c>
      <c r="O5" s="3" t="n"/>
      <c r="P5" s="3" t="n"/>
      <c r="Q5" s="3" t="inlineStr">
        <is>
          <t>Đề xuất PASS từ xác nhận bằng văn bản màu xanh, không phải lần thực thi mới; chưa có nhật ký kết quả riêng cho từng bước.</t>
        </is>
      </c>
      <c r="R5" s="3" t="inlineStr">
        <is>
          <t>Xanh #00FF00</t>
        </is>
      </c>
    </row>
    <row r="6" ht="68" customHeight="1">
      <c r="A6" s="4" t="inlineStr">
        <is>
          <t>AUTH-05</t>
        </is>
      </c>
      <c r="B6" s="2" t="inlineStr">
        <is>
          <t>AUTH</t>
        </is>
      </c>
      <c r="C6" s="2" t="inlineStr">
        <is>
          <t>Đổi mật khẩu: dùng tài khoản thử, nhập sai mật khẩu hiện tại; sau đó đổi bằng mật khẩu hiện tại đúng và thử đăng nhập lại.</t>
        </is>
      </c>
      <c r="D6" s="2" t="inlineStr">
        <is>
          <t>Theo kế hoạch: tài khoản Admin/User hợp lệ; tài khoản thử riêng khi đổi mật khẩu; AUTH-06 cần email thử và cấu hình gửi mail. Việc chuẩn bị thực tế chưa ghi riêng.</t>
        </is>
      </c>
      <c r="E6" s="2" t="inlineStr">
        <is>
          <t>Dữ liệu theo kịch bản: Đổi mật khẩu: dùng tài khoản thử, nhập sai mật khẩu hiện tại; sau đó đổi bằng mật khẩu hiện tại đúng và thử đăng nhập lại. Giá trị thực tế chưa được ghi riêng.</t>
        </is>
      </c>
      <c r="F6" s="2" t="inlineStr">
        <is>
          <t>Trường hợp mật khẩu hiện tại sai bị từ chối; sau khi đổi đúng, mật khẩu mới đăng nhập được và mật khẩu cũ không còn hiệu lực.</t>
        </is>
      </c>
      <c r="G6" s="2" t="inlineStr">
        <is>
          <t>Theo xác nhận màu xanh trên toàn bộ phần mô tả/kỳ vọng của Tester: trường hợp sai bị từ chối; mật khẩu mới đăng nhập được, mật khẩu cũ không được.</t>
        </is>
      </c>
      <c r="H6" s="5" t="inlineStr">
        <is>
          <t>PASS</t>
        </is>
      </c>
      <c r="I6" s="4" t="inlineStr"/>
      <c r="J6" s="2" t="inlineStr"/>
      <c r="K6" s="2" t="inlineStr"/>
      <c r="L6" s="2" t="inlineStr">
        <is>
          <t>Nguồn văn bản/đánh dấu: Kiểm thử phần mềm.docx B9
Evidence Missing: screenshot/log/file kết quả trực tiếp.</t>
        </is>
      </c>
      <c r="M6" s="2" t="inlineStr"/>
      <c r="N6" s="2" t="inlineStr">
        <is>
          <t>Nhom8-DGVKDCLPM_bao-cao-dang-test.docx B286/R10; Kiểm thử phần mềm.docx B9</t>
        </is>
      </c>
      <c r="O6" s="2" t="n"/>
      <c r="P6" s="2" t="n"/>
      <c r="Q6" s="2" t="inlineStr">
        <is>
          <t>Đề xuất PASS từ xác nhận bằng văn bản màu xanh, không phải lần thực thi mới; chưa có nhật ký kết quả riêng cho từng bước.</t>
        </is>
      </c>
      <c r="R6" s="2" t="inlineStr">
        <is>
          <t>Xanh #00FF00</t>
        </is>
      </c>
    </row>
    <row r="7" ht="83" customHeight="1">
      <c r="A7" s="8" t="inlineStr">
        <is>
          <t>AUTH-06</t>
        </is>
      </c>
      <c r="B7" s="3" t="inlineStr">
        <is>
          <t>AUTH</t>
        </is>
      </c>
      <c r="C7" s="3" t="inlineStr">
        <is>
          <t>Quên mật khẩu: với email thử do nhóm kiểm soát, gửi OTP, thử OTP sai rồi OTP đúng để đặt lại mật khẩu. Chỉ thực thi sau khi xác nhận cấu hình gửi email.</t>
        </is>
      </c>
      <c r="D7" s="3" t="inlineStr">
        <is>
          <t>Theo kế hoạch: tài khoản Admin/User hợp lệ; tài khoản thử riêng khi đổi mật khẩu; AUTH-06 cần email thử và cấu hình gửi mail. Việc chuẩn bị thực tế chưa ghi riêng.</t>
        </is>
      </c>
      <c r="E7" s="3" t="inlineStr">
        <is>
          <t>Dữ liệu theo kịch bản: Quên mật khẩu: với email thử do nhóm kiểm soát, gửi OTP, thử OTP sai rồi OTP đúng để đặt lại mật khẩu. Chỉ thực thi sau khi xác nhận cấu hình gửi email. Giá trị thực tế chưa được ghi riêng.</t>
        </is>
      </c>
      <c r="F7" s="3" t="inlineStr">
        <is>
          <t>OTP sai bị từ chối; OTP đúng cho phép đặt lại mật khẩu và đăng nhập bằng mật khẩu mới.</t>
        </is>
      </c>
      <c r="G7" s="3" t="inlineStr">
        <is>
          <t>Chưa có kết quả thực thi trong tài liệu (không đánh dấu màu kết quả, không ghi quan sát). Giữ NOT RUN.</t>
        </is>
      </c>
      <c r="H7" s="9" t="inlineStr">
        <is>
          <t>NOT RUN</t>
        </is>
      </c>
      <c r="I7" s="8" t="inlineStr"/>
      <c r="J7" s="3" t="inlineStr"/>
      <c r="K7" s="3" t="inlineStr"/>
      <c r="L7" s="3" t="inlineStr">
        <is>
          <t>Không có evidence thực thi; testcase chưa có kết quả.</t>
        </is>
      </c>
      <c r="M7" s="3" t="inlineStr"/>
      <c r="N7" s="3" t="inlineStr">
        <is>
          <t>Nhom8-DGVKDCLPM_bao-cao-dang-test.docx B286/R12; Kiểm thử phần mềm.docx B10</t>
        </is>
      </c>
      <c r="O7" s="3" t="n"/>
      <c r="P7" s="3" t="n"/>
      <c r="Q7" s="3" t="inlineStr">
        <is>
          <t>Không suy ra trạng thái từ ảnh của testcase khác hay source hiện tại. Thiếu cấu hình/dữ liệu chỉ là điều kiện cần, chưa có ghi nhận bị chặn để gán BLOCKED.</t>
        </is>
      </c>
      <c r="R7" s="3" t="inlineStr">
        <is>
          <t>Không đánh dấu màu kết quả</t>
        </is>
      </c>
    </row>
    <row r="8" ht="83" customHeight="1">
      <c r="A8" s="6" t="inlineStr">
        <is>
          <t>BOOK-01</t>
        </is>
      </c>
      <c r="B8" s="2" t="inlineStr">
        <is>
          <t>BOOK</t>
        </is>
      </c>
      <c r="C8" s="2" t="inlineStr">
        <is>
          <t>Tìm kiếm/lọc: tìm theo tên, tác giả, lọc thể loại và nhập từ khóa không có kết quả.</t>
        </is>
      </c>
      <c r="D8" s="2" t="inlineStr">
        <is>
          <t>Theo kế hoạch: Admin cho quản trị; ISBN mới/trùng, sách thử có thể xóa, PDF/EPUB và file sai định dạng. Giá trị dữ liệu thực tế chưa ghi đầy đủ.</t>
        </is>
      </c>
      <c r="E8" s="2" t="inlineStr">
        <is>
          <t>Ảnh nhập “Nguyễn Nhật Ánh” ở ô Header và ô tìm kiếm danh mục; không có danh sách kết quả đầy đủ.</t>
        </is>
      </c>
      <c r="F8" s="2" t="inlineStr">
        <is>
          <t>Danh sách thay đổi đúng theo điều kiện tìm/lọc; trường hợp không có kết quả hiển thị trạng thái 'không tìm thấy'.</t>
        </is>
      </c>
      <c r="G8" s="2" t="inlineStr">
        <is>
          <t>Tester ghi: “thanh tìm kiếm trên cùng không có tác dụng.” Ảnh có ô tìm kiếm Header và ô tìm/lọc danh mục; chưa có kết quả từng nhánh của ô danh mục.</t>
        </is>
      </c>
      <c r="H8" s="7" t="n"/>
      <c r="I8" s="6" t="inlineStr">
        <is>
          <t>NEEDS_REVIEW</t>
        </is>
      </c>
      <c r="J8" s="2" t="inlineStr"/>
      <c r="K8" s="2" t="inlineStr"/>
      <c r="L8" s="2" t="inlineStr">
        <is>
          <t>evidence/BOOK-01_rId7_image23.png
Nguồn xác nhận: Kiểm thử phần mềm.docx B12, B13, B14
Giới hạn ảnh: rId7: Ảnh không có toàn bộ danh sách kết quả, thể loại hay trạng thái không tìm thấy; chưa chốt ô thuộc kịch bản.</t>
        </is>
      </c>
      <c r="M8" s="2" t="inlineStr">
        <is>
          <r>
            <rPr>
              <rFont val="Calibri"/>
              <i val="1"/>
              <sz val="11"/>
            </rPr>
            <t>thanh tìm kiếm trên cùng không có tác dụng.</t>
          </r>
        </is>
      </c>
      <c r="N8" s="2" t="inlineStr">
        <is>
          <t>Nhom8-DGVKDCLPM_bao-cao-dang-test.docx B290/R2; Kiểm thử phần mềm.docx B12, B13, B14</t>
        </is>
      </c>
      <c r="O8" s="2" t="n"/>
      <c r="P8" s="2" t="n"/>
      <c r="Q8" s="2" t="inlineStr">
        <is>
          <t>Chưa xác định ô Header thuộc kịch bản BOOK-01 hay chức năng tìm kiếm riêng; cần kết quả tên/tác giả/thể loại/không tìm thấy trước khi chốt.</t>
        </is>
      </c>
      <c r="R8" s="2" t="inlineStr">
        <is>
          <t>Cam #FF9900</t>
        </is>
      </c>
    </row>
    <row r="9" ht="68" customHeight="1">
      <c r="A9" s="4" t="inlineStr">
        <is>
          <t>BOOK-02</t>
        </is>
      </c>
      <c r="B9" s="3" t="inlineStr">
        <is>
          <t>BOOK</t>
        </is>
      </c>
      <c r="C9" s="3" t="inlineStr">
        <is>
          <t>Chi tiết sách: mở một thẻ sách và đối chiếu thông tin hiển thị.</t>
        </is>
      </c>
      <c r="D9" s="3" t="inlineStr">
        <is>
          <t>Theo kế hoạch: Admin cho quản trị; ISBN mới/trùng, sách thử có thể xóa, PDF/EPUB và file sai định dạng. Giá trị dữ liệu thực tế chưa ghi đầy đủ.</t>
        </is>
      </c>
      <c r="E9" s="3" t="inlineStr">
        <is>
          <t>Dữ liệu theo kịch bản: Chi tiết sách: mở một thẻ sách và đối chiếu thông tin hiển thị. Giá trị thực tế chưa được ghi riêng.</t>
        </is>
      </c>
      <c r="F9" s="3" t="inlineStr">
        <is>
          <t>Tác giả, ISBN, thể loại, số bản còn lại và thông tin từng bản sao hiển thị đúng.</t>
        </is>
      </c>
      <c r="G9" s="3" t="inlineStr">
        <is>
          <t>Theo xác nhận màu xanh trên toàn bộ phần mô tả/kỳ vọng của Tester: tác giả, ISBN, thể loại, số bản còn lại và thông tin từng bản sao hiển thị đúng.</t>
        </is>
      </c>
      <c r="H9" s="5" t="inlineStr">
        <is>
          <t>PASS</t>
        </is>
      </c>
      <c r="I9" s="4" t="inlineStr"/>
      <c r="J9" s="3" t="inlineStr"/>
      <c r="K9" s="3" t="inlineStr"/>
      <c r="L9" s="3" t="inlineStr">
        <is>
          <t>Nguồn văn bản/đánh dấu: Kiểm thử phần mềm.docx B15
Evidence Missing: screenshot/log/file kết quả trực tiếp.</t>
        </is>
      </c>
      <c r="M9" s="3" t="inlineStr"/>
      <c r="N9" s="3" t="inlineStr">
        <is>
          <t>Nhom8-DGVKDCLPM_bao-cao-dang-test.docx B290/R4; Kiểm thử phần mềm.docx B15</t>
        </is>
      </c>
      <c r="O9" s="3" t="n"/>
      <c r="P9" s="3" t="n"/>
      <c r="Q9" s="3" t="inlineStr">
        <is>
          <t>Đề xuất PASS từ xác nhận bằng văn bản màu xanh, không phải lần thực thi mới; chưa có nhật ký kết quả riêng cho từng bước.</t>
        </is>
      </c>
      <c r="R9" s="3" t="inlineStr">
        <is>
          <t>Xanh #00FF00</t>
        </is>
      </c>
    </row>
    <row r="10" ht="68" customHeight="1">
      <c r="A10" s="8" t="inlineStr">
        <is>
          <t>BOOK-03</t>
        </is>
      </c>
      <c r="B10" s="2" t="inlineStr">
        <is>
          <t>BOOK</t>
        </is>
      </c>
      <c r="C10" s="2" t="inlineStr">
        <is>
          <t>Gợi ý sách: xem khu gợi ý và chọn một sách; kiểm tra trường hợp tài khoản chưa có lịch sử phù hợp.</t>
        </is>
      </c>
      <c r="D10" s="2" t="inlineStr">
        <is>
          <t>Theo kế hoạch: Admin cho quản trị; ISBN mới/trùng, sách thử có thể xóa, PDF/EPUB và file sai định dạng. Giá trị dữ liệu thực tế chưa ghi đầy đủ.</t>
        </is>
      </c>
      <c r="E10" s="2" t="inlineStr">
        <is>
          <t>Dữ liệu theo kịch bản: Gợi ý sách: xem khu gợi ý và chọn một sách; kiểm tra trường hợp tài khoản chưa có lịch sử phù hợp. Giá trị thực tế chưa được ghi riêng.</t>
        </is>
      </c>
      <c r="F10" s="2" t="inlineStr">
        <is>
          <t>Mở đúng trang chi tiết sách được chọn; tài khoản chưa có lịch sử phù hợp có thể nhận gợi ý theo xu hướng/thịnh hành.</t>
        </is>
      </c>
      <c r="G10" s="2" t="inlineStr">
        <is>
          <t>Chưa có kết quả thực thi trong tài liệu (không đánh dấu màu kết quả, không ghi quan sát). Giữ NOT RUN.</t>
        </is>
      </c>
      <c r="H10" s="9" t="inlineStr">
        <is>
          <t>NOT RUN</t>
        </is>
      </c>
      <c r="I10" s="8" t="inlineStr"/>
      <c r="J10" s="2" t="inlineStr"/>
      <c r="K10" s="2" t="inlineStr"/>
      <c r="L10" s="2" t="inlineStr">
        <is>
          <t>Không có evidence thực thi; testcase chưa có kết quả.</t>
        </is>
      </c>
      <c r="M10" s="2" t="inlineStr"/>
      <c r="N10" s="2" t="inlineStr">
        <is>
          <t>Nhom8-DGVKDCLPM_bao-cao-dang-test.docx B290/R6; Kiểm thử phần mềm.docx B16</t>
        </is>
      </c>
      <c r="O10" s="2" t="n"/>
      <c r="P10" s="2" t="n"/>
      <c r="Q10" s="2" t="inlineStr">
        <is>
          <t>Không suy ra trạng thái từ ảnh của testcase khác hay source hiện tại. Thiếu cấu hình/dữ liệu chỉ là điều kiện cần, chưa có ghi nhận bị chặn để gán BLOCKED.</t>
        </is>
      </c>
      <c r="R10" s="2" t="inlineStr">
        <is>
          <t>Không đánh dấu màu kết quả</t>
        </is>
      </c>
    </row>
    <row r="11" ht="83" customHeight="1">
      <c r="A11" s="6" t="inlineStr">
        <is>
          <t>BOOK-04</t>
        </is>
      </c>
      <c r="B11" s="3" t="inlineStr">
        <is>
          <t>BOOK</t>
        </is>
      </c>
      <c r="C11" s="3" t="inlineStr">
        <is>
          <t>Thêm sách: Admin tạo một sách thử với số lượng 2 bản.</t>
        </is>
      </c>
      <c r="D11" s="3" t="inlineStr">
        <is>
          <t>Theo kế hoạch: Admin cho quản trị; ISBN mới/trùng, sách thử có thể xóa, PDF/EPUB và file sai định dạng. Giá trị dữ liệu thực tế chưa ghi đầy đủ.</t>
        </is>
      </c>
      <c r="E11" s="3" t="inlineStr">
        <is>
          <t>Ảnh form: số lượng 4, còn lại 1; khác dữ liệu 2 bản trong kịch bản. ISBN hiển thị 978-604-1-19820-3, tên Bong bóng lên trời (đọc theo ảnh). Không dùng làm bằng chứng đã tạo.</t>
        </is>
      </c>
      <c r="F11" s="3" t="inlineStr">
        <is>
          <t>Tạo 1 đầu sách và 2 bản sao vật lý với 2 barcode khác nhau; số bản khả dụng bằng 2.</t>
        </is>
      </c>
      <c r="G11" s="3" t="inlineStr">
        <is>
          <t>Ảnh chỉ có form thêm sách (Số lượng 4, Còn lại 1); ghi chú đề nghị bỏ trường/tự điền NXB. Không có ảnh kết quả tạo sách với 2 bản.</t>
        </is>
      </c>
      <c r="H11" s="7" t="n"/>
      <c r="I11" s="6" t="inlineStr">
        <is>
          <t>NEEDS_REVIEW</t>
        </is>
      </c>
      <c r="J11" s="3" t="inlineStr"/>
      <c r="K11" s="3" t="inlineStr"/>
      <c r="L11" s="3" t="inlineStr">
        <is>
          <t>evidence/BOOK-04_rId8_image14.png
Nguồn xác nhận: Kiểm thử phần mềm.docx B18, B19, B20
Giới hạn ảnh: rId8: Chỉ là form trước lưu, khác dữ liệu 2 bản; không chứng minh đầu sách/barcode/khả dụng sau tạo.</t>
        </is>
      </c>
      <c r="M11" s="3" t="inlineStr">
        <is>
          <r>
            <rPr>
              <rFont val="Calibri"/>
              <i val="1"/>
              <sz val="11"/>
            </rPr>
            <t>Bỏ “Còn lại” (sách thêm mới có ai mượn đâu nên không cần còn lại) và “Số trang” (không quan trọng nên có thể lược bỏ). Năm xuất bản và NXB có thể suy ra được từ mã ISBN, nếu được thì thêm chức năng tự fill NXB từ mã ISBN.</t>
          </r>
        </is>
      </c>
      <c r="N11" s="3" t="inlineStr">
        <is>
          <t>Nhom8-DGVKDCLPM_bao-cao-dang-test.docx B290/R8; Kiểm thử phần mềm.docx B18, B19, B20</t>
        </is>
      </c>
      <c r="O11" s="3" t="n"/>
      <c r="P11" s="3" t="n"/>
      <c r="Q11" s="3" t="inlineStr">
        <is>
          <t>Thiếu xác nhận 1 đầu sách, 2 bản sao, 2 barcode khác nhau, khả dụng 2; dữ liệu ảnh khác kịch bản gốc.</t>
        </is>
      </c>
      <c r="R11" s="3" t="inlineStr">
        <is>
          <t>Cam #FF9900</t>
        </is>
      </c>
    </row>
    <row r="12" ht="68" customHeight="1">
      <c r="A12" s="4" t="inlineStr">
        <is>
          <t>BOOK-05</t>
        </is>
      </c>
      <c r="B12" s="2" t="inlineStr">
        <is>
          <t>BOOK</t>
        </is>
      </c>
      <c r="C12" s="2" t="inlineStr">
        <is>
          <t>Dữ liệu thiếu/không hợp lệ: bỏ trống trường bắt buộc hoặc nhập số lượng nhỏ hơn 1.</t>
        </is>
      </c>
      <c r="D12" s="2" t="inlineStr">
        <is>
          <t>Theo kế hoạch: Admin cho quản trị; ISBN mới/trùng, sách thử có thể xóa, PDF/EPUB và file sai định dạng. Giá trị dữ liệu thực tế chưa ghi đầy đủ.</t>
        </is>
      </c>
      <c r="E12" s="2" t="inlineStr">
        <is>
          <t>Dữ liệu theo kịch bản: Dữ liệu thiếu/không hợp lệ: bỏ trống trường bắt buộc hoặc nhập số lượng nhỏ hơn 1. Giá trị thực tế chưa được ghi riêng.</t>
        </is>
      </c>
      <c r="F12" s="2" t="inlineStr">
        <is>
          <t>Không tạo sách; giao diện hiển thị lỗi dữ liệu phù hợp.</t>
        </is>
      </c>
      <c r="G12" s="2" t="inlineStr">
        <is>
          <t>Theo xác nhận màu xanh trên toàn bộ phần mô tả/kỳ vọng của Tester: không tạo sách và hiện lỗi.</t>
        </is>
      </c>
      <c r="H12" s="5" t="inlineStr">
        <is>
          <t>PASS</t>
        </is>
      </c>
      <c r="I12" s="4" t="inlineStr"/>
      <c r="J12" s="2" t="inlineStr"/>
      <c r="K12" s="2" t="inlineStr"/>
      <c r="L12" s="2" t="inlineStr">
        <is>
          <t>Nguồn văn bản/đánh dấu: Kiểm thử phần mềm.docx B22
Evidence Missing: screenshot/log/file kết quả trực tiếp.</t>
        </is>
      </c>
      <c r="M12" s="2" t="inlineStr"/>
      <c r="N12" s="2" t="inlineStr">
        <is>
          <t>Nhom8-DGVKDCLPM_bao-cao-dang-test.docx B290/R10; Kiểm thử phần mềm.docx B22</t>
        </is>
      </c>
      <c r="O12" s="2" t="n"/>
      <c r="P12" s="2" t="n"/>
      <c r="Q12" s="2" t="inlineStr">
        <is>
          <t>Đề xuất PASS từ xác nhận bằng văn bản màu xanh, không phải lần thực thi mới; chưa có nhật ký kết quả riêng cho từng bước.</t>
        </is>
      </c>
      <c r="R12" s="2" t="inlineStr">
        <is>
          <t>Xanh #00FF00</t>
        </is>
      </c>
    </row>
    <row r="13" ht="68" customHeight="1">
      <c r="A13" s="4" t="inlineStr">
        <is>
          <t>BOOK-06</t>
        </is>
      </c>
      <c r="B13" s="3" t="inlineStr">
        <is>
          <t>BOOK</t>
        </is>
      </c>
      <c r="C13" s="3" t="inlineStr">
        <is>
          <t>Thêm lại cùng ISBN: dùng chức năng Thêm sách với ISBN của BOOK-04.</t>
        </is>
      </c>
      <c r="D13" s="3" t="inlineStr">
        <is>
          <t>Theo kế hoạch: Admin cho quản trị; ISBN mới/trùng, sách thử có thể xóa, PDF/EPUB và file sai định dạng. Giá trị dữ liệu thực tế chưa ghi đầy đủ.</t>
        </is>
      </c>
      <c r="E13" s="3" t="inlineStr">
        <is>
          <t>Dữ liệu theo kịch bản: Thêm lại cùng ISBN: dùng chức năng Thêm sách với ISBN của BOOK-04. Giá trị thực tế chưa được ghi riêng.</t>
        </is>
      </c>
      <c r="F13" s="3" t="inlineStr">
        <is>
          <t>Hệ thống cộng thêm bản sao vào đầu sách đã có; không tạo đầu sách thứ hai cùng ISBN.</t>
        </is>
      </c>
      <c r="G13" s="3" t="inlineStr">
        <is>
          <t>Theo xác nhận màu xanh trên toàn bộ phần mô tả/kỳ vọng của Tester: cộng bản sao vào đầu sách cũ, không tạo đầu sách thứ hai.</t>
        </is>
      </c>
      <c r="H13" s="5" t="inlineStr">
        <is>
          <t>PASS</t>
        </is>
      </c>
      <c r="I13" s="4" t="inlineStr"/>
      <c r="J13" s="3" t="inlineStr"/>
      <c r="K13" s="3" t="inlineStr"/>
      <c r="L13" s="3" t="inlineStr">
        <is>
          <t>Nguồn văn bản/đánh dấu: Kiểm thử phần mềm.docx B23
Evidence Missing: screenshot/log/file kết quả trực tiếp.</t>
        </is>
      </c>
      <c r="M13" s="3" t="inlineStr"/>
      <c r="N13" s="3" t="inlineStr">
        <is>
          <t>Nhom8-DGVKDCLPM_bao-cao-dang-test.docx B290/R12; Kiểm thử phần mềm.docx B23; ghi chú nghiệp vụ B28</t>
        </is>
      </c>
      <c r="O13" s="3" t="n"/>
      <c r="P13" s="3" t="n"/>
      <c r="Q13" s="3" t="inlineStr">
        <is>
          <t>Đề xuất PASS từ xác nhận bằng văn bản màu xanh, không phải lần thực thi mới; chưa có nhật ký kết quả riêng cho từng bước. Giữ hai quy tắc ISBN độc lập; ghi chú liên quan Manual B28. Không lấy kết quả source thay cho ghi nhận xanh.</t>
        </is>
      </c>
      <c r="R13" s="3" t="inlineStr">
        <is>
          <t>Xanh #00FF00</t>
        </is>
      </c>
    </row>
    <row r="14" ht="68" customHeight="1">
      <c r="A14" s="4" t="inlineStr">
        <is>
          <t>BOOK-07</t>
        </is>
      </c>
      <c r="B14" s="2" t="inlineStr">
        <is>
          <t>BOOK</t>
        </is>
      </c>
      <c r="C14" s="2" t="inlineStr">
        <is>
          <t>Sửa sách: đổi tên/mô tả và tăng số lượng từ 2 lên 3.</t>
        </is>
      </c>
      <c r="D14" s="2" t="inlineStr">
        <is>
          <t>Theo kế hoạch: Admin cho quản trị; ISBN mới/trùng, sách thử có thể xóa, PDF/EPUB và file sai định dạng. Giá trị dữ liệu thực tế chưa ghi đầy đủ.</t>
        </is>
      </c>
      <c r="E14" s="2" t="inlineStr">
        <is>
          <t>Dữ liệu theo kịch bản: Sửa sách: đổi tên/mô tả và tăng số lượng từ 2 lên 3. Giá trị thực tế chưa được ghi riêng.</t>
        </is>
      </c>
      <c r="F14" s="2" t="inlineStr">
        <is>
          <t>Thông tin mới được lưu; có thêm barcode mới; các barcode cũ được giữ nguyên.</t>
        </is>
      </c>
      <c r="G14" s="2" t="inlineStr">
        <is>
          <t>Theo xác nhận màu xanh trên toàn bộ phần mô tả/kỳ vọng của Tester: thông tin được lưu, có thêm barcode mới, barcode cũ giữ nguyên.</t>
        </is>
      </c>
      <c r="H14" s="5" t="inlineStr">
        <is>
          <t>PASS</t>
        </is>
      </c>
      <c r="I14" s="4" t="inlineStr"/>
      <c r="J14" s="2" t="inlineStr"/>
      <c r="K14" s="2" t="inlineStr"/>
      <c r="L14" s="2" t="inlineStr">
        <is>
          <t>Nguồn văn bản/đánh dấu: Kiểm thử phần mềm.docx B24
Evidence Missing: screenshot/log/file kết quả trực tiếp.</t>
        </is>
      </c>
      <c r="M14" s="2" t="inlineStr"/>
      <c r="N14" s="2" t="inlineStr">
        <is>
          <t>Nhom8-DGVKDCLPM_bao-cao-dang-test.docx B290/R14; Kiểm thử phần mềm.docx B24</t>
        </is>
      </c>
      <c r="O14" s="2" t="n"/>
      <c r="P14" s="2" t="n"/>
      <c r="Q14" s="2" t="inlineStr">
        <is>
          <t>Đề xuất PASS từ xác nhận bằng văn bản màu xanh, không phải lần thực thi mới; chưa có nhật ký kết quả riêng cho từng bước.</t>
        </is>
      </c>
      <c r="R14" s="2" t="inlineStr">
        <is>
          <t>Xanh #00FF00</t>
        </is>
      </c>
    </row>
    <row r="15" ht="68" customHeight="1">
      <c r="A15" s="4" t="inlineStr">
        <is>
          <t>BOOK-08</t>
        </is>
      </c>
      <c r="B15" s="3" t="inlineStr">
        <is>
          <t>BOOK</t>
        </is>
      </c>
      <c r="C15" s="3" t="inlineStr">
        <is>
          <t>E-book: Admin tải PDF/EPUB thử lên sách; mở 'Đọc online'. Sau đó thử tải file có định dạng khác.</t>
        </is>
      </c>
      <c r="D15" s="3" t="inlineStr">
        <is>
          <t>Theo kế hoạch: Admin cho quản trị; ISBN mới/trùng, sách thử có thể xóa, PDF/EPUB và file sai định dạng. Giá trị dữ liệu thực tế chưa ghi đầy đủ.</t>
        </is>
      </c>
      <c r="E15" s="3" t="inlineStr">
        <is>
          <t>Dữ liệu theo kịch bản: E-book: Admin tải PDF/EPUB thử lên sách; mở 'Đọc online'. Sau đó thử tải file có định dạng khác. Giá trị thực tế chưa được ghi riêng.</t>
        </is>
      </c>
      <c r="F15" s="3" t="inlineStr">
        <is>
          <t>PDF/EPUB hợp lệ mở được; file không hỗ trợ bị từ chối và có thông báo lỗi phù hợp.</t>
        </is>
      </c>
      <c r="G15" s="3" t="inlineStr">
        <is>
          <t>Theo xác nhận màu xanh trên toàn bộ phần mô tả/kỳ vọng của Tester: file mở được. Thử file định dạng khác và ghi nhận thông báo lỗi.</t>
        </is>
      </c>
      <c r="H15" s="5" t="inlineStr">
        <is>
          <t>PASS</t>
        </is>
      </c>
      <c r="I15" s="4" t="inlineStr"/>
      <c r="J15" s="3" t="inlineStr"/>
      <c r="K15" s="3" t="inlineStr"/>
      <c r="L15" s="3" t="inlineStr">
        <is>
          <t>Nguồn văn bản/đánh dấu: Kiểm thử phần mềm.docx B25
Evidence Missing: screenshot/log/file kết quả trực tiếp.</t>
        </is>
      </c>
      <c r="M15" s="3" t="inlineStr"/>
      <c r="N15" s="3" t="inlineStr">
        <is>
          <t>Nhom8-DGVKDCLPM_bao-cao-dang-test.docx B290/R16; Kiểm thử phần mềm.docx B25</t>
        </is>
      </c>
      <c r="O15" s="3" t="n"/>
      <c r="P15" s="3" t="n"/>
      <c r="Q15" s="3" t="inlineStr">
        <is>
          <t>Đề xuất PASS từ xác nhận bằng văn bản màu xanh, không phải lần thực thi mới; chưa có nhật ký kết quả riêng cho từng bước.</t>
        </is>
      </c>
      <c r="R15" s="3" t="inlineStr">
        <is>
          <t>Xanh #00FF00</t>
        </is>
      </c>
    </row>
    <row r="16" ht="68" customHeight="1">
      <c r="A16" s="4" t="inlineStr">
        <is>
          <t>BOOK-09</t>
        </is>
      </c>
      <c r="B16" s="2" t="inlineStr">
        <is>
          <t>BOOK</t>
        </is>
      </c>
      <c r="C16" s="2" t="inlineStr">
        <is>
          <t>In tem barcode: in một tem và in toàn bộ tem của sách thử.</t>
        </is>
      </c>
      <c r="D16" s="2" t="inlineStr">
        <is>
          <t>Theo kế hoạch: Admin cho quản trị; ISBN mới/trùng, sách thử có thể xóa, PDF/EPUB và file sai định dạng. Giá trị dữ liệu thực tế chưa ghi đầy đủ.</t>
        </is>
      </c>
      <c r="E16" s="2" t="inlineStr">
        <is>
          <t>Dữ liệu theo kịch bản: In tem barcode: in một tem và in toàn bộ tem của sách thử. Giá trị thực tế chưa được ghi riêng.</t>
        </is>
      </c>
      <c r="F16" s="2" t="inlineStr">
        <is>
          <t>Barcode trên bản xem trước khớp với barcode lưu trong thông tin chi tiết bản sao.</t>
        </is>
      </c>
      <c r="G16" s="2" t="inlineStr">
        <is>
          <t>Theo xác nhận màu xanh trên toàn bộ phần mô tả/kỳ vọng của Tester: barcode trên bản xem trước khớp dữ liệu trong chi tiết.</t>
        </is>
      </c>
      <c r="H16" s="5" t="inlineStr">
        <is>
          <t>PASS</t>
        </is>
      </c>
      <c r="I16" s="4" t="inlineStr"/>
      <c r="J16" s="2" t="inlineStr"/>
      <c r="K16" s="2" t="inlineStr"/>
      <c r="L16" s="2" t="inlineStr">
        <is>
          <t>Nguồn văn bản/đánh dấu: Kiểm thử phần mềm.docx B26
Evidence Missing: screenshot/log/file kết quả trực tiếp.</t>
        </is>
      </c>
      <c r="M16" s="2" t="inlineStr"/>
      <c r="N16" s="2" t="inlineStr">
        <is>
          <t>Nhom8-DGVKDCLPM_bao-cao-dang-test.docx B290/R18; Kiểm thử phần mềm.docx B26</t>
        </is>
      </c>
      <c r="O16" s="2" t="n"/>
      <c r="P16" s="2" t="n"/>
      <c r="Q16" s="2" t="inlineStr">
        <is>
          <t>Đề xuất PASS từ xác nhận bằng văn bản màu xanh, không phải lần thực thi mới; chưa có nhật ký kết quả riêng cho từng bước.</t>
        </is>
      </c>
      <c r="R16" s="2" t="inlineStr">
        <is>
          <t>Xanh #00FF00</t>
        </is>
      </c>
    </row>
    <row r="17" ht="68" customHeight="1">
      <c r="A17" s="4" t="inlineStr">
        <is>
          <t>BOOK-10</t>
        </is>
      </c>
      <c r="B17" s="3" t="inlineStr">
        <is>
          <t>BOOK</t>
        </is>
      </c>
      <c r="C17" s="3" t="inlineStr">
        <is>
          <t>Xóa sách thử: xóa sách chưa phát sinh phiếu mượn.</t>
        </is>
      </c>
      <c r="D17" s="3" t="inlineStr">
        <is>
          <t>Theo kế hoạch: Admin cho quản trị; ISBN mới/trùng, sách thử có thể xóa, PDF/EPUB và file sai định dạng. Giá trị dữ liệu thực tế chưa ghi đầy đủ.</t>
        </is>
      </c>
      <c r="E17" s="3" t="inlineStr">
        <is>
          <t>Dữ liệu theo kịch bản: Xóa sách thử: xóa sách chưa phát sinh phiếu mượn. Giá trị thực tế chưa được ghi riêng.</t>
        </is>
      </c>
      <c r="F17" s="3" t="inlineStr">
        <is>
          <t>Sách bị xóa và không còn xuất hiện trong danh mục.</t>
        </is>
      </c>
      <c r="G17" s="3" t="inlineStr">
        <is>
          <t>Theo xác nhận màu xanh trên toàn bộ phần mô tả/kỳ vọng của Tester: sách không còn trong danh mục.</t>
        </is>
      </c>
      <c r="H17" s="5" t="inlineStr">
        <is>
          <t>PASS</t>
        </is>
      </c>
      <c r="I17" s="4" t="inlineStr"/>
      <c r="J17" s="3" t="inlineStr"/>
      <c r="K17" s="3" t="inlineStr"/>
      <c r="L17" s="3" t="inlineStr">
        <is>
          <t>Nguồn văn bản/đánh dấu: Kiểm thử phần mềm.docx B27, B28
Evidence Missing: screenshot/log/file kết quả trực tiếp.</t>
        </is>
      </c>
      <c r="M17" s="3" t="inlineStr">
        <is>
          <r>
            <t>Lưu ý: Thêm sách cùng ISBN và nhập Excel trùng ISBN có cách xử lý khác nhau trong code; đừng dùng cùng kỳ vọng cho hai ca này</t>
          </r>
          <r>
            <t>.</t>
          </r>
        </is>
      </c>
      <c r="N17" s="3" t="inlineStr">
        <is>
          <t>Nhom8-DGVKDCLPM_bao-cao-dang-test.docx B290/R20; Kiểm thử phần mềm.docx B27, B28</t>
        </is>
      </c>
      <c r="O17" s="3" t="n"/>
      <c r="P17" s="3" t="n"/>
      <c r="Q17" s="3" t="inlineStr">
        <is>
          <t>Đề xuất PASS từ xác nhận bằng văn bản màu xanh, không phải lần thực thi mới; chưa có nhật ký kết quả riêng cho từng bước.</t>
        </is>
      </c>
      <c r="R17" s="3" t="inlineStr">
        <is>
          <t>Xanh #00FF00</t>
        </is>
      </c>
    </row>
    <row r="18" ht="53" customHeight="1">
      <c r="A18" s="4" t="inlineStr">
        <is>
          <t>EXCEL-01</t>
        </is>
      </c>
      <c r="B18" s="2" t="inlineStr">
        <is>
          <t>EXCEL</t>
        </is>
      </c>
      <c r="C18" s="2" t="inlineStr">
        <is>
          <t>Tải mẫu: Admin bấm tải file mẫu nhập sách.</t>
        </is>
      </c>
      <c r="D18" s="2" t="inlineStr">
        <is>
          <t>Theo kế hoạch: Admin; file mẫu, ISBN mới/trùng và file hợp lệ/sai định dạng. Không kèm file test gốc.</t>
        </is>
      </c>
      <c r="E18" s="2" t="inlineStr">
        <is>
          <t>Dữ liệu theo kịch bản: Tải mẫu: Admin bấm tải file mẫu nhập sách. Giá trị thực tế chưa được ghi riêng.</t>
        </is>
      </c>
      <c r="F18" s="2" t="inlineStr">
        <is>
          <t>Tải được file .xlsx mở bình thường và có các cột/hướng dẫn cần thiết.</t>
        </is>
      </c>
      <c r="G18" s="2" t="inlineStr">
        <is>
          <t>Theo xác nhận màu xanh trên toàn bộ phần mô tả/kỳ vọng của Tester: nhận được .xlsx mở được, có các cột hướng dẫn.</t>
        </is>
      </c>
      <c r="H18" s="5" t="inlineStr">
        <is>
          <t>PASS</t>
        </is>
      </c>
      <c r="I18" s="4" t="inlineStr"/>
      <c r="J18" s="2" t="inlineStr"/>
      <c r="K18" s="2" t="inlineStr"/>
      <c r="L18" s="2" t="inlineStr">
        <is>
          <t>Nguồn văn bản/đánh dấu: Kiểm thử phần mềm.docx B30
Evidence Missing: screenshot/log/file kết quả trực tiếp.</t>
        </is>
      </c>
      <c r="M18" s="2" t="inlineStr"/>
      <c r="N18" s="2" t="inlineStr">
        <is>
          <t>Nhom8-DGVKDCLPM_bao-cao-dang-test.docx B294/R2; Kiểm thử phần mềm.docx B30</t>
        </is>
      </c>
      <c r="O18" s="2" t="n"/>
      <c r="P18" s="2" t="n"/>
      <c r="Q18" s="2" t="inlineStr">
        <is>
          <t>Đề xuất PASS từ xác nhận bằng văn bản màu xanh, không phải lần thực thi mới; chưa có nhật ký kết quả riêng cho từng bước.</t>
        </is>
      </c>
      <c r="R18" s="2" t="inlineStr">
        <is>
          <t>Xanh #00FF00</t>
        </is>
      </c>
    </row>
    <row r="19" ht="68" customHeight="1">
      <c r="A19" s="4" t="inlineStr">
        <is>
          <t>EXCEL-02</t>
        </is>
      </c>
      <c r="B19" s="3" t="inlineStr">
        <is>
          <t>EXCEL</t>
        </is>
      </c>
      <c r="C19" s="3" t="inlineStr">
        <is>
          <t>Nhập hợp lệ: chỉnh file mẫu còn một dòng sách thử với ISBN mới và số lượng 2, sau đó nhập file.</t>
        </is>
      </c>
      <c r="D19" s="3" t="inlineStr">
        <is>
          <t>Theo kế hoạch: Admin; file mẫu, ISBN mới/trùng và file hợp lệ/sai định dạng. Không kèm file test gốc.</t>
        </is>
      </c>
      <c r="E19" s="3" t="inlineStr">
        <is>
          <t>Dữ liệu theo kịch bản: Nhập hợp lệ: chỉnh file mẫu còn một dòng sách thử với ISBN mới và số lượng 2, sau đó nhập file. Giá trị thực tế chưa được ghi riêng.</t>
        </is>
      </c>
      <c r="F19" s="3" t="inlineStr">
        <is>
          <t>Hệ thống báo nhập thành công; danh mục có đầu sách mới và 2 bản sao.</t>
        </is>
      </c>
      <c r="G19" s="3" t="inlineStr">
        <is>
          <t>Theo xác nhận màu xanh trên toàn bộ phần mô tả/kỳ vọng của Tester: báo nhập thành công; danh mục có sách và 2 bản sao.</t>
        </is>
      </c>
      <c r="H19" s="5" t="inlineStr">
        <is>
          <t>PASS</t>
        </is>
      </c>
      <c r="I19" s="4" t="inlineStr"/>
      <c r="J19" s="3" t="inlineStr"/>
      <c r="K19" s="3" t="inlineStr"/>
      <c r="L19" s="3" t="inlineStr">
        <is>
          <t>Nguồn văn bản/đánh dấu: Kiểm thử phần mềm.docx B31
Evidence Missing: screenshot/log/file kết quả trực tiếp.</t>
        </is>
      </c>
      <c r="M19" s="3" t="inlineStr"/>
      <c r="N19" s="3" t="inlineStr">
        <is>
          <t>Nhom8-DGVKDCLPM_bao-cao-dang-test.docx B294/R4; Kiểm thử phần mềm.docx B31</t>
        </is>
      </c>
      <c r="O19" s="3" t="n"/>
      <c r="P19" s="3" t="n"/>
      <c r="Q19" s="3" t="inlineStr">
        <is>
          <t>Đề xuất PASS từ xác nhận bằng văn bản màu xanh, không phải lần thực thi mới; chưa có nhật ký kết quả riêng cho từng bước.</t>
        </is>
      </c>
      <c r="R19" s="3" t="inlineStr">
        <is>
          <t>Xanh #00FF00</t>
        </is>
      </c>
    </row>
    <row r="20" ht="68" customHeight="1">
      <c r="A20" s="4" t="inlineStr">
        <is>
          <t>EXCEL-03</t>
        </is>
      </c>
      <c r="B20" s="2" t="inlineStr">
        <is>
          <t>EXCEL</t>
        </is>
      </c>
      <c r="C20" s="2" t="inlineStr">
        <is>
          <t>Dòng lỗi/trùng ISBN: thêm một dòng thiếu tiêu đề và một dòng có ISBN đã tồn tại.</t>
        </is>
      </c>
      <c r="D20" s="2" t="inlineStr">
        <is>
          <t>Theo kế hoạch: Admin; file mẫu, ISBN mới/trùng và file hợp lệ/sai định dạng. Không kèm file test gốc.</t>
        </is>
      </c>
      <c r="E20" s="2" t="inlineStr">
        <is>
          <t>Dữ liệu theo kịch bản: Dòng lỗi/trùng ISBN: thêm một dòng thiếu tiêu đề và một dòng có ISBN đã tồn tại. Giá trị thực tế chưa được ghi riêng.</t>
        </is>
      </c>
      <c r="F20" s="2" t="inlineStr">
        <is>
          <t>Các dòng lỗi bị bỏ qua kèm lý do; không tạo dữ liệu trùng ISBN. Lưu ý: kỳ vọng của import Excel không dùng chung với BOOK-06.</t>
        </is>
      </c>
      <c r="G20" s="2" t="inlineStr">
        <is>
          <t>Theo xác nhận màu xanh trên toàn bộ phần mô tả/kỳ vọng của Tester: báo các dòng bị bỏ qua kèm lý do; không tạo dữ liệu trùng.</t>
        </is>
      </c>
      <c r="H20" s="5" t="inlineStr">
        <is>
          <t>PASS</t>
        </is>
      </c>
      <c r="I20" s="4" t="inlineStr"/>
      <c r="J20" s="2" t="inlineStr"/>
      <c r="K20" s="2" t="inlineStr"/>
      <c r="L20" s="2" t="inlineStr">
        <is>
          <t>Nguồn văn bản/đánh dấu: Kiểm thử phần mềm.docx B32
Evidence Missing: screenshot/log/file kết quả trực tiếp.</t>
        </is>
      </c>
      <c r="M20" s="2" t="inlineStr"/>
      <c r="N20" s="2" t="inlineStr">
        <is>
          <t>Nhom8-DGVKDCLPM_bao-cao-dang-test.docx B294/R6; Kiểm thử phần mềm.docx B32; ghi chú nghiệp vụ B28</t>
        </is>
      </c>
      <c r="O20" s="2" t="n"/>
      <c r="P20" s="2" t="n"/>
      <c r="Q20" s="2" t="inlineStr">
        <is>
          <t>Đề xuất PASS từ xác nhận bằng văn bản màu xanh, không phải lần thực thi mới; chưa có nhật ký kết quả riêng cho từng bước. Giữ hai quy tắc ISBN độc lập; ghi chú liên quan Manual B28. Không lấy kết quả source thay cho ghi nhận xanh.</t>
        </is>
      </c>
      <c r="R20" s="2" t="inlineStr">
        <is>
          <t>Xanh #00FF00</t>
        </is>
      </c>
    </row>
    <row r="21" ht="53" customHeight="1">
      <c r="A21" s="4" t="inlineStr">
        <is>
          <t>EXCEL-04</t>
        </is>
      </c>
      <c r="B21" s="3" t="inlineStr">
        <is>
          <t>EXCEL</t>
        </is>
      </c>
      <c r="C21" s="3" t="inlineStr">
        <is>
          <t>Sai định dạng: chọn file không phải .xlsx/.xls.</t>
        </is>
      </c>
      <c r="D21" s="3" t="inlineStr">
        <is>
          <t>Theo kế hoạch: Admin; file mẫu, ISBN mới/trùng và file hợp lệ/sai định dạng. Không kèm file test gốc.</t>
        </is>
      </c>
      <c r="E21" s="3" t="inlineStr">
        <is>
          <t>Dữ liệu theo kịch bản: Sai định dạng: chọn file không phải .xlsx/.xls. Giá trị thực tế chưa được ghi riêng.</t>
        </is>
      </c>
      <c r="F21" s="3" t="inlineStr">
        <is>
          <t>Giao diện từ chối file sai định dạng và không thực hiện nhập dữ liệu.</t>
        </is>
      </c>
      <c r="G21" s="3" t="inlineStr">
        <is>
          <t>Theo xác nhận màu xanh trên toàn bộ phần mô tả/kỳ vọng của Tester: giao diện từ chối file.</t>
        </is>
      </c>
      <c r="H21" s="5" t="inlineStr">
        <is>
          <t>PASS</t>
        </is>
      </c>
      <c r="I21" s="4" t="inlineStr"/>
      <c r="J21" s="3" t="inlineStr"/>
      <c r="K21" s="3" t="inlineStr"/>
      <c r="L21" s="3" t="inlineStr">
        <is>
          <t>Nguồn văn bản/đánh dấu: Kiểm thử phần mềm.docx B33
Evidence Missing: screenshot/log/file kết quả trực tiếp.</t>
        </is>
      </c>
      <c r="M21" s="3" t="inlineStr"/>
      <c r="N21" s="3" t="inlineStr">
        <is>
          <t>Nhom8-DGVKDCLPM_bao-cao-dang-test.docx B294/R8; Kiểm thử phần mềm.docx B33</t>
        </is>
      </c>
      <c r="O21" s="3" t="n"/>
      <c r="P21" s="3" t="n"/>
      <c r="Q21" s="3" t="inlineStr">
        <is>
          <t>Đề xuất PASS từ xác nhận bằng văn bản màu xanh, không phải lần thực thi mới; chưa có nhật ký kết quả riêng cho từng bước.</t>
        </is>
      </c>
      <c r="R21" s="3" t="inlineStr">
        <is>
          <t>Xanh #00FF00</t>
        </is>
      </c>
    </row>
    <row r="22" ht="83" customHeight="1">
      <c r="A22" s="4" t="inlineStr">
        <is>
          <t>RES-01</t>
        </is>
      </c>
      <c r="B22" s="2" t="inlineStr">
        <is>
          <t>RES</t>
        </is>
      </c>
      <c r="C22" s="2" t="inlineStr">
        <is>
          <t>Đặt trước sách hết bản: User chọn sách có 0 bản khả dụng.</t>
        </is>
      </c>
      <c r="D22" s="2" t="inlineStr">
        <is>
          <t>Theo kế hoạch: Admin/User; sách 0 bản/còn bản khả dụng; yêu cầu thử phục vụ xử lý/hủy. Chưa ghi mã yêu cầu thực tế.</t>
        </is>
      </c>
      <c r="E22" s="2" t="inlineStr">
        <is>
          <t>Dữ liệu theo kịch bản: Đặt trước sách hết bản: User chọn sách có 0 bản khả dụng. Giá trị thực tế chưa được ghi riêng.</t>
        </is>
      </c>
      <c r="F22" s="2" t="inlineStr">
        <is>
          <t>Tạo yêu cầu trạng thái WAITING; yêu cầu xuất hiện trong Hồ sơ và User nhận thông báo.</t>
        </is>
      </c>
      <c r="G22" s="2" t="inlineStr">
        <is>
          <t>Theo xác nhận màu xanh trên toàn bộ phần mô tả/kỳ vọng của Tester: tạo yêu cầu WAITING, thấy trong Hồ sơ và có thông báo.</t>
        </is>
      </c>
      <c r="H22" s="5" t="inlineStr">
        <is>
          <t>PASS</t>
        </is>
      </c>
      <c r="I22" s="4" t="inlineStr"/>
      <c r="J22" s="2" t="inlineStr"/>
      <c r="K22" s="2" t="inlineStr"/>
      <c r="L22" s="2" t="inlineStr">
        <is>
          <t>evidence/RES-01_rId9_image10.png
Nguồn xác nhận: Kiểm thử phần mềm.docx B35, B36
Giới hạn ảnh: rId9: Không hiển thị enum API WAITING hay ảnh sách 0 bản tại thời điểm thao tác; xác nhận xanh là nguồn bổ sung.</t>
        </is>
      </c>
      <c r="M22" s="2" t="inlineStr"/>
      <c r="N22" s="2" t="inlineStr">
        <is>
          <t>Nhom8-DGVKDCLPM_bao-cao-dang-test.docx B298/R2; Kiểm thử phần mềm.docx B35, B36</t>
        </is>
      </c>
      <c r="O22" s="2" t="n"/>
      <c r="P22" s="2" t="n"/>
      <c r="Q22" s="2" t="inlineStr">
        <is>
          <t>Đề xuất PASS từ xác nhận bằng văn bản màu xanh, không phải lần thực thi mới; chưa có nhật ký kết quả riêng cho từng bước.</t>
        </is>
      </c>
      <c r="R22" s="2" t="inlineStr">
        <is>
          <t>Xanh #00FF00</t>
        </is>
      </c>
    </row>
    <row r="23" ht="68" customHeight="1">
      <c r="A23" s="6" t="inlineStr">
        <is>
          <t>RES-02</t>
        </is>
      </c>
      <c r="B23" s="3" t="inlineStr">
        <is>
          <t>RES</t>
        </is>
      </c>
      <c r="C23" s="3" t="inlineStr">
        <is>
          <t>Sách còn bản: thử đặt trước một sách đang còn bản khả dụng.</t>
        </is>
      </c>
      <c r="D23" s="3" t="inlineStr">
        <is>
          <t>Theo kế hoạch: Admin/User; sách 0 bản/còn bản khả dụng; yêu cầu thử phục vụ xử lý/hủy. Chưa ghi mã yêu cầu thực tế.</t>
        </is>
      </c>
      <c r="E23" s="3" t="inlineStr">
        <is>
          <t>Dữ liệu theo kịch bản: Sách còn bản: thử đặt trước một sách đang còn bản khả dụng. Giá trị thực tế chưa được ghi riêng.</t>
        </is>
      </c>
      <c r="F23" s="3" t="inlineStr">
        <is>
          <t>Hệ thống từ chối tạo yêu cầu đặt trước.</t>
        </is>
      </c>
      <c r="G23" s="3" t="inlineStr">
        <is>
          <t>Tester ghi “(không có chức năng này)”. Không có ảnh hoặc ghi nhận thử tạo yêu cầu cho sách đang khả dụng.</t>
        </is>
      </c>
      <c r="H23" s="7" t="n"/>
      <c r="I23" s="6" t="inlineStr">
        <is>
          <t>NEEDS_REVIEW</t>
        </is>
      </c>
      <c r="J23" s="3" t="inlineStr"/>
      <c r="K23" s="3" t="inlineStr"/>
      <c r="L23" s="3" t="inlineStr">
        <is>
          <t>Nguồn văn bản/đánh dấu: Kiểm thử phần mềm.docx B37, B38
Evidence Missing: screenshot/log/file kết quả trực tiếp.</t>
        </is>
      </c>
      <c r="M23" s="3" t="inlineStr">
        <is>
          <r>
            <t>(không có chức năng này)</t>
          </r>
        </is>
      </c>
      <c r="N23" s="3" t="inlineStr">
        <is>
          <t>Nhom8-DGVKDCLPM_bao-cao-dang-test.docx B298/R4; Kiểm thử phần mềm.docx B37, B38</t>
        </is>
      </c>
      <c r="O23" s="3" t="n"/>
      <c r="P23" s="3" t="n"/>
      <c r="Q23" s="3" t="inlineStr">
        <is>
          <t>Không có nút đặt trước có thể là cơ chế từ chối hợp lệ; chưa xác nhận hành vi từ chối tạo yêu cầu. Không đủ căn cứ PASS/FAIL/BLOCKED.</t>
        </is>
      </c>
      <c r="R23" s="3" t="inlineStr">
        <is>
          <t>Cam #FF9900</t>
        </is>
      </c>
    </row>
    <row r="24" ht="83" customHeight="1">
      <c r="A24" s="4" t="inlineStr">
        <is>
          <t>RES-03</t>
        </is>
      </c>
      <c r="B24" s="2" t="inlineStr">
        <is>
          <t>RES</t>
        </is>
      </c>
      <c r="C24" s="2" t="inlineStr">
        <is>
          <t>Đặt trùng: cùng User đặt trước cùng một đầu sách lần thứ hai.</t>
        </is>
      </c>
      <c r="D24" s="2" t="inlineStr">
        <is>
          <t>Theo kế hoạch: Admin/User; sách 0 bản/còn bản khả dụng; yêu cầu thử phục vụ xử lý/hủy. Chưa ghi mã yêu cầu thực tế.</t>
        </is>
      </c>
      <c r="E24" s="2" t="inlineStr">
        <is>
          <t>Dữ liệu theo kịch bản: Đặt trùng: cùng User đặt trước cùng một đầu sách lần thứ hai. Giá trị thực tế chưa được ghi riêng.</t>
        </is>
      </c>
      <c r="F24" s="2" t="inlineStr">
        <is>
          <t>Không tạo thêm yêu cầu đặt trước trùng.</t>
        </is>
      </c>
      <c r="G24" s="2" t="inlineStr">
        <is>
          <t>Theo xác nhận màu xanh trên toàn bộ phần mô tả/kỳ vọng của Tester: không tạo thêm yêu cầu.</t>
        </is>
      </c>
      <c r="H24" s="5" t="inlineStr">
        <is>
          <t>PASS</t>
        </is>
      </c>
      <c r="I24" s="4" t="inlineStr"/>
      <c r="J24" s="2" t="inlineStr"/>
      <c r="K24" s="2" t="inlineStr"/>
      <c r="L24" s="2" t="inlineStr">
        <is>
          <t>evidence/RES-03_rId10_image22.png
Nguồn xác nhận: Kiểm thử phần mềm.docx B39, B40
Giới hạn ảnh: rId10: Không có ảnh trước/sau hoặc số yêu cầu; màu cam trên run chỉ chứa ảnh không đổi trạng thái RES-03 xanh.</t>
        </is>
      </c>
      <c r="M24" s="2" t="inlineStr"/>
      <c r="N24" s="2" t="inlineStr">
        <is>
          <t>Nhom8-DGVKDCLPM_bao-cao-dang-test.docx B298/R6; Kiểm thử phần mềm.docx B39, B40</t>
        </is>
      </c>
      <c r="O24" s="2" t="n"/>
      <c r="P24" s="2" t="n"/>
      <c r="Q24" s="2" t="inlineStr">
        <is>
          <t>Đề xuất PASS từ xác nhận bằng văn bản màu xanh, không phải lần thực thi mới; chưa có nhật ký kết quả riêng cho từng bước.</t>
        </is>
      </c>
      <c r="R24" s="2" t="inlineStr">
        <is>
          <t>Xanh #00FF00</t>
        </is>
      </c>
    </row>
    <row r="25" ht="83" customHeight="1">
      <c r="A25" s="6" t="inlineStr">
        <is>
          <t>RES-04</t>
        </is>
      </c>
      <c r="B25" s="3" t="inlineStr">
        <is>
          <t>RES</t>
        </is>
      </c>
      <c r="C25" s="3" t="inlineStr">
        <is>
          <t>Xử lý bởi Admin: tại /borrowed?tab=reservations, tìm/lọc yêu cầu và chuyển WAITING -&gt; NOTIFIED -&gt; FULFILLED.</t>
        </is>
      </c>
      <c r="D25" s="3" t="inlineStr">
        <is>
          <t>Theo kế hoạch: Admin/User; sách 0 bản/còn bản khả dụng; yêu cầu thử phục vụ xử lý/hủy. Chưa ghi mã yêu cầu thực tế.</t>
        </is>
      </c>
      <c r="E25" s="3" t="inlineStr">
        <is>
          <t>Dữ liệu theo kịch bản: Xử lý bởi Admin: tại /borrowed?tab=reservations, tìm/lọc yêu cầu và chuyển WAITING -&gt; NOTIFIED -&gt; FULFILLED. Giá trị thực tế chưa được ghi riêng.</t>
        </is>
      </c>
      <c r="F25" s="3" t="inlineStr">
        <is>
          <t>Trạng thái cập nhật đúng theo thao tác; khi chuyển sang NOTIFIED, User nhận thông báo.</t>
        </is>
      </c>
      <c r="G25" s="3" t="inlineStr">
        <is>
          <t>Ảnh Hồ sơ hiển thị “Đã nhận sách”; Tester ghi không cập nhật lịch sử mượn trả của sách đó sau nhận sách đặt trước.</t>
        </is>
      </c>
      <c r="H25" s="7" t="n"/>
      <c r="I25" s="6" t="inlineStr">
        <is>
          <t>NEEDS_REVIEW</t>
        </is>
      </c>
      <c r="J25" s="3" t="inlineStr"/>
      <c r="K25" s="3" t="inlineStr"/>
      <c r="L25" s="3" t="inlineStr">
        <is>
          <t>evidence/RES-04_rId11_image3.png
Nguồn xác nhận: Kiểm thử phần mềm.docx B41, B42, B43
Giới hạn ảnh: rId11: Không có màn hình Admin chuyển trạng thái/thông báo NOTIFIED; không kết luận nghiệp vụ Loan.</t>
        </is>
      </c>
      <c r="M25" s="3" t="inlineStr">
        <is>
          <r>
            <rPr>
              <rFont val="Calibri"/>
              <i val="1"/>
              <sz val="11"/>
            </rPr>
            <t>(sau nhận sách đặt trước nhưng không cập nhật list lịch sử mượn trả của sách đó)</t>
          </r>
        </is>
      </c>
      <c r="N25" s="3" t="inlineStr">
        <is>
          <t>Nhom8-DGVKDCLPM_bao-cao-dang-test.docx B298/R8; Kiểm thử phần mềm.docx B41, B42, B43</t>
        </is>
      </c>
      <c r="O25" s="3" t="n"/>
      <c r="P25" s="3" t="n"/>
      <c r="Q25" s="3" t="inlineStr">
        <is>
          <t>Thiếu ghi nhận tìm/lọc, đủ chuỗi WAITING → NOTIFIED → FULFILLED và thông báo khi NOTIFIED. Lịch sử mượn trả cần phối hợp thành viên phụ trách; không kết luận thay họ.</t>
        </is>
      </c>
      <c r="R25" s="3" t="inlineStr">
        <is>
          <t>Cam #FF9900</t>
        </is>
      </c>
    </row>
    <row r="26" ht="83" customHeight="1">
      <c r="A26" s="4" t="inlineStr">
        <is>
          <t>RES-05</t>
        </is>
      </c>
      <c r="B26" s="2" t="inlineStr">
        <is>
          <t>RES</t>
        </is>
      </c>
      <c r="C26" s="2" t="inlineStr">
        <is>
          <t>Hủy: User hủy yêu cầu của mình; Admin thử hủy một yêu cầu khác.</t>
        </is>
      </c>
      <c r="D26" s="2" t="inlineStr">
        <is>
          <t>Theo kế hoạch: Admin/User; sách 0 bản/còn bản khả dụng; yêu cầu thử phục vụ xử lý/hủy. Chưa ghi mã yêu cầu thực tế.</t>
        </is>
      </c>
      <c r="E26" s="2" t="inlineStr">
        <is>
          <t>Dữ liệu theo kịch bản: Hủy: User hủy yêu cầu của mình; Admin thử hủy một yêu cầu khác. Giá trị thực tế chưa được ghi riêng.</t>
        </is>
      </c>
      <c r="F26" s="2" t="inlineStr">
        <is>
          <t>Yêu cầu hợp lệ chuyển sang trạng thái CANCELLED.</t>
        </is>
      </c>
      <c r="G26" s="2" t="inlineStr">
        <is>
          <t>Theo xác nhận màu xanh trên toàn bộ phần mô tả/kỳ vọng của Tester: trạng thái chuyển CANCELLED.</t>
        </is>
      </c>
      <c r="H26" s="5" t="inlineStr">
        <is>
          <t>PASS</t>
        </is>
      </c>
      <c r="I26" s="4" t="inlineStr"/>
      <c r="J26" s="2" t="inlineStr"/>
      <c r="K26" s="2" t="inlineStr"/>
      <c r="L26" s="2" t="inlineStr">
        <is>
          <t>evidence/RES-05_rId12_image9.png
Nguồn xác nhận: Kiểm thử phần mềm.docx B44, B45
Giới hạn ảnh: rId12: Không hiển thị hủy đặt trước/CANCELLED; chỉ liên kết ảnh theo vị trí trong manual, PASS RES-05 dựa trên đánh dấu xanh.</t>
        </is>
      </c>
      <c r="M26" s="2" t="inlineStr"/>
      <c r="N26" s="2" t="inlineStr">
        <is>
          <t>Nhom8-DGVKDCLPM_bao-cao-dang-test.docx B298/R10; Kiểm thử phần mềm.docx B44, B45</t>
        </is>
      </c>
      <c r="O26" s="2" t="n"/>
      <c r="P26" s="2" t="n"/>
      <c r="Q26" s="2" t="inlineStr">
        <is>
          <t>Đề xuất PASS từ xác nhận bằng văn bản màu xanh, không phải lần thực thi mới; chưa có nhật ký kết quả riêng cho từng bước.</t>
        </is>
      </c>
      <c r="R26" s="2" t="inlineStr">
        <is>
          <t>Xanh #00FF00</t>
        </is>
      </c>
    </row>
    <row r="27" ht="83" customHeight="1">
      <c r="A27" s="4" t="inlineStr">
        <is>
          <t>MEM-01</t>
        </is>
      </c>
      <c r="B27" s="3" t="inlineStr">
        <is>
          <t>MEM</t>
        </is>
      </c>
      <c r="C27" s="3" t="inlineStr">
        <is>
          <t>Danh sách: Admin tìm theo tên/email và lọc Đang hoạt động/Danh sách đen.</t>
        </is>
      </c>
      <c r="D27" s="3" t="inlineStr">
        <is>
          <t>Theo kế hoạch: Admin và thành viên thử; email mới/trùng; dữ liệu blacklist và vai trò/hạng thẻ.</t>
        </is>
      </c>
      <c r="E27" s="3" t="inlineStr">
        <is>
          <t>Dữ liệu theo kịch bản: Danh sách: Admin tìm theo tên/email và lọc Đang hoạt động/Danh sách đen. Giá trị thực tế chưa được ghi riêng.</t>
        </is>
      </c>
      <c r="F27" s="3" t="inlineStr">
        <is>
          <t>Kết quả tìm/lọc và số lượng hiển thị khớp với dữ liệu.</t>
        </is>
      </c>
      <c r="G27" s="3" t="inlineStr">
        <is>
          <t>Theo xác nhận màu xanh trên toàn bộ phần mô tả/kỳ vọng của Tester: kết quả và số lượng hiển thị khớp.</t>
        </is>
      </c>
      <c r="H27" s="5" t="inlineStr">
        <is>
          <t>PASS</t>
        </is>
      </c>
      <c r="I27" s="4" t="inlineStr"/>
      <c r="J27" s="3" t="inlineStr"/>
      <c r="K27" s="3" t="inlineStr"/>
      <c r="L27" s="3" t="inlineStr">
        <is>
          <t>evidence/MEM-01_rId13_image2.png
Nguồn xác nhận: Kiểm thử phần mềm.docx B58, B59
Giới hạn ảnh: rId13: Chưa ghi từng lần lọc và dữ liệu đối chứng; màu đỏ ở run chỉ chứa ảnh không phủ định MEM-01 xanh.</t>
        </is>
      </c>
      <c r="M27" s="3" t="inlineStr"/>
      <c r="N27" s="3" t="inlineStr">
        <is>
          <t>Nhom8-DGVKDCLPM_bao-cao-dang-test.docx B302/R2; Kiểm thử phần mềm.docx B58, B59</t>
        </is>
      </c>
      <c r="O27" s="3" t="n"/>
      <c r="P27" s="3" t="n"/>
      <c r="Q27" s="3" t="inlineStr">
        <is>
          <t>Đề xuất PASS từ xác nhận bằng văn bản màu xanh, không phải lần thực thi mới; chưa có nhật ký kết quả riêng cho từng bước.</t>
        </is>
      </c>
      <c r="R27" s="3" t="inlineStr">
        <is>
          <t>Xanh #00FF00</t>
        </is>
      </c>
    </row>
    <row r="28" ht="113" customHeight="1">
      <c r="A28" s="10" t="inlineStr">
        <is>
          <t>MEM-02</t>
        </is>
      </c>
      <c r="B28" s="2" t="inlineStr">
        <is>
          <t>MEM</t>
        </is>
      </c>
      <c r="C28" s="2" t="inlineStr">
        <is>
          <t>Thêm thành viên: tạo một tài khoản thử từ màn hình quản lý thành viên.</t>
        </is>
      </c>
      <c r="D28" s="2" t="inlineStr">
        <is>
          <t>Theo kế hoạch: Admin và thành viên thử; email mới/trùng; dữ liệu blacklist và vai trò/hạng thẻ.</t>
        </is>
      </c>
      <c r="E28" s="2" t="inlineStr">
        <is>
          <t>Tester ghi chuỗi email không có @; chưa ghi chính xác chuỗi dùng cho lần đăng nhập thất bại.</t>
        </is>
      </c>
      <c r="F28" s="2" t="inlineStr">
        <is>
          <t>Tài khoản xuất hiện trong danh sách và có thể đăng nhập.</t>
        </is>
      </c>
      <c r="G28" s="2" t="inlineStr">
        <is>
          <t>Tester xác nhận email không có @ vẫn tạo được thành viên nhưng thành viên đó không đăng nhập được. Ảnh form cho thấy thiếu dấu *; chưa có ảnh gửi email sai và lỗi đăng nhập.</t>
        </is>
      </c>
      <c r="H28" s="11" t="inlineStr">
        <is>
          <t>FAIL</t>
        </is>
      </c>
      <c r="I28" s="10" t="inlineStr">
        <is>
          <t>EVIDENCE_MISSING</t>
        </is>
      </c>
      <c r="J28" s="2" t="inlineStr">
        <is>
          <t>DEF-001</t>
        </is>
      </c>
      <c r="K28" s="2" t="inlineStr">
        <is>
          <t>Medium (đề xuất)</t>
        </is>
      </c>
      <c r="L28" s="2" t="inlineStr">
        <is>
          <t>evidence/MEM-02_rId14_image24.png
Nguồn xác nhận: Kiểm thử phần mềm.docx B62, B63, B64
Evidence Missing: ảnh/log chấp nhận email sai và lần đăng nhập thất bại.
Giới hạn ảnh: rId14: Không chứng minh email sai đã lưu hay đăng nhập thất bại; lỗi DEF-001 được xác nhận bằng ghi chú Tester.</t>
        </is>
      </c>
      <c r="M28" s="2" t="inlineStr">
        <is>
          <r>
            <rPr>
              <rFont val="Calibri"/>
              <i val="1"/>
              <sz val="11"/>
            </rPr>
            <t xml:space="preserve">(không có dấu * thể hiện các trường thông tin phải nhập, email nhập sai định dạng: không có @, vẫn có thể tạo thành viên được nhưng không đăng nhập được) </t>
          </r>
        </is>
      </c>
      <c r="N28" s="2" t="inlineStr">
        <is>
          <t>Nhom8-DGVKDCLPM_bao-cao-dang-test.docx B302/R4; Kiểm thử phần mềm.docx B62, B63, B64</t>
        </is>
      </c>
      <c r="O28" s="2" t="n"/>
      <c r="P28" s="2" t="n"/>
      <c r="Q28" s="2" t="inlineStr">
        <is>
          <t>Không đạt kỳ vọng tài khoản mới có thể đăng nhập. Sai email được ghi bằng văn bản của Tester; không suy diễn rằng email hợp lệ cũng thất bại. Thiếu dấu * là ghi chú UX riêng.</t>
        </is>
      </c>
      <c r="R28" s="2" t="inlineStr">
        <is>
          <t>Đỏ #FF0000</t>
        </is>
      </c>
    </row>
    <row r="29" ht="83" customHeight="1">
      <c r="A29" s="4" t="inlineStr">
        <is>
          <t>MEM-03</t>
        </is>
      </c>
      <c r="B29" s="3" t="inlineStr">
        <is>
          <t>MEM</t>
        </is>
      </c>
      <c r="C29" s="3" t="inlineStr">
        <is>
          <t>Email trùng: thêm lại email đã tồn tại.</t>
        </is>
      </c>
      <c r="D29" s="3" t="inlineStr">
        <is>
          <t>Theo kế hoạch: Admin và thành viên thử; email mới/trùng; dữ liệu blacklist và vai trò/hạng thẻ.</t>
        </is>
      </c>
      <c r="E29" s="3" t="inlineStr">
        <is>
          <t>Dữ liệu theo kịch bản: Email trùng: thêm lại email đã tồn tại. Giá trị thực tế chưa được ghi riêng.</t>
        </is>
      </c>
      <c r="F29" s="3" t="inlineStr">
        <is>
          <t>Hệ thống từ chối; danh sách không có hai tài khoản cùng email.</t>
        </is>
      </c>
      <c r="G29" s="3" t="inlineStr">
        <is>
          <t>Theo xác nhận màu xanh trên toàn bộ phần mô tả/kỳ vọng của Tester: bị từ chối, danh sách không có hai tài khoản cùng email.</t>
        </is>
      </c>
      <c r="H29" s="5" t="inlineStr">
        <is>
          <t>PASS</t>
        </is>
      </c>
      <c r="I29" s="4" t="inlineStr"/>
      <c r="J29" s="3" t="inlineStr"/>
      <c r="K29" s="3" t="inlineStr"/>
      <c r="L29" s="3" t="inlineStr">
        <is>
          <t>evidence/MEM-03_rId15_image18.png
Nguồn xác nhận: Kiểm thử phần mềm.docx B70, B71
Giới hạn ảnh: rId15: Không có đối soát danh sách trước/sau; xanh là xác nhận bổ sung không tạo email trùng.</t>
        </is>
      </c>
      <c r="M29" s="3" t="inlineStr"/>
      <c r="N29" s="3" t="inlineStr">
        <is>
          <t>Nhom8-DGVKDCLPM_bao-cao-dang-test.docx B302/R6; Kiểm thử phần mềm.docx B70, B71</t>
        </is>
      </c>
      <c r="O29" s="3" t="n"/>
      <c r="P29" s="3" t="n"/>
      <c r="Q29" s="3" t="inlineStr">
        <is>
          <t>Đề xuất PASS từ xác nhận bằng văn bản màu xanh, không phải lần thực thi mới; chưa có nhật ký kết quả riêng cho từng bước.</t>
        </is>
      </c>
      <c r="R29" s="3" t="inlineStr">
        <is>
          <t>Xanh #00FF00</t>
        </is>
      </c>
    </row>
    <row r="30" ht="83" customHeight="1">
      <c r="A30" s="6" t="inlineStr">
        <is>
          <t>MEM-04</t>
        </is>
      </c>
      <c r="B30" s="2" t="inlineStr">
        <is>
          <t>MEM</t>
        </is>
      </c>
      <c r="C30" s="2" t="inlineStr">
        <is>
          <t>Blacklist: đưa tài khoản thử vào danh sách đen rồi gỡ ra.</t>
        </is>
      </c>
      <c r="D30" s="2" t="inlineStr">
        <is>
          <t>Theo kế hoạch: Admin và thành viên thử; email mới/trùng; dữ liệu blacklist và vai trò/hạng thẻ.</t>
        </is>
      </c>
      <c r="E30" s="2" t="inlineStr">
        <is>
          <t>Dữ liệu theo kịch bản: Blacklist: đưa tài khoản thử vào danh sách đen rồi gỡ ra. Giá trị thực tế chưa được ghi riêng.</t>
        </is>
      </c>
      <c r="F30" s="2" t="inlineStr">
        <is>
          <t>Trạng thái và bộ lọc cập nhật đúng. Việc bị chặn mượn được xác nhận kết hợp với luồng mượn sách khi có dữ liệu phù hợp.</t>
        </is>
      </c>
      <c r="G30" s="2" t="inlineStr">
        <is>
          <t>Ảnh và ghi chú xác nhận tài khoản bị chặn mượn; Tester ghi thiếu mục liên hệ Admin để yêu cầu gỡ chặn.</t>
        </is>
      </c>
      <c r="H30" s="7" t="n"/>
      <c r="I30" s="6" t="inlineStr">
        <is>
          <t>NEEDS_REVIEW</t>
        </is>
      </c>
      <c r="J30" s="2" t="inlineStr"/>
      <c r="K30" s="2" t="inlineStr"/>
      <c r="L30" s="2" t="inlineStr">
        <is>
          <t>evidence/MEM-04_rId16_image20.png
Nguồn xác nhận: Kiểm thử phần mềm.docx B73, B74, B75
Giới hạn ảnh: rId16: Chưa có ảnh Admin gỡ blacklist/bộ lọc sau gỡ; không tạo kết quả kiểm thử luồng mượn riêng.</t>
        </is>
      </c>
      <c r="M30" s="2" t="inlineStr">
        <is>
          <r>
            <rPr>
              <rFont val="Calibri"/>
              <i val="1"/>
              <sz val="11"/>
            </rPr>
            <t xml:space="preserve">(bị chặn nhưng không có mục nào để user có thể liên hệ admin để yêu cầu hủy chặn) </t>
          </r>
        </is>
      </c>
      <c r="N30" s="2" t="inlineStr">
        <is>
          <t>Nhom8-DGVKDCLPM_bao-cao-dang-test.docx B302/R8; Kiểm thử phần mềm.docx B73, B74, B75</t>
        </is>
      </c>
      <c r="O30" s="2" t="n"/>
      <c r="P30" s="2" t="n"/>
      <c r="Q30" s="2" t="inlineStr">
        <is>
          <t>Chưa xác nhận thao tác Admin đưa vào/gỡ blacklist và bộ lọc sau gỡ. Không dùng ảnh chặn mượn để kết luận đầy đủ kịch bản; liên hệ Admin là đề nghị UX.</t>
        </is>
      </c>
      <c r="R30" s="2" t="inlineStr">
        <is>
          <t>Cam #FF9900</t>
        </is>
      </c>
    </row>
    <row r="31" ht="113" customHeight="1">
      <c r="A31" s="10" t="inlineStr">
        <is>
          <t>MEM-05</t>
        </is>
      </c>
      <c r="B31" s="3" t="inlineStr">
        <is>
          <t>MEM</t>
        </is>
      </c>
      <c r="C31" s="3" t="inlineStr">
        <is>
          <t>Vai trò/hạng thẻ: khi thêm thành viên, chọn ADMIN hoặc PREMIUM rồi kiểm tra dữ liệu tài khoản được lưu. Đây là ca cần chú ý vì form gửi các trường này nhưng API đăng ký có dấu hiệu tạo USER và dùng hạng mặc định STANDARD.</t>
        </is>
      </c>
      <c r="D31" s="3" t="inlineStr">
        <is>
          <t>Theo kế hoạch: Admin và thành viên thử; email mới/trùng; dữ liệu blacklist và vai trò/hạng thẻ.</t>
        </is>
      </c>
      <c r="E31" s="3" t="inlineStr">
        <is>
          <t>Ảnh form: email abc@bac.com, hạng LECTURER; ảnh thẻ cùng email: STANDARD. Dữ liệu khác lựa chọn ADMIN/PREMIUM trong kịch bản gốc.</t>
        </is>
      </c>
      <c r="F31" s="3" t="inlineStr">
        <is>
          <t>Vai trò và hạng thẻ được lưu đúng theo lựa chọn trên form. Nếu hệ thống vẫn lưu USER/STANDARD thì ghi nhận defect kèm bằng chứng.</t>
        </is>
      </c>
      <c r="G31" s="3" t="inlineStr">
        <is>
          <t>Tester xác nhận chọn hạng thành viên không có tác dụng, thành viên tạo ra vẫn STANDARD. Hai ảnh cùng tên/email cho thấy chọn Lecturer (15 cuốn) nhưng thẻ thành viên hiển thị STANDARD (5 cuốn). Chưa xác nhận nhánh ADMIN/PREMIUM.</t>
        </is>
      </c>
      <c r="H31" s="11" t="inlineStr">
        <is>
          <t>FAIL</t>
        </is>
      </c>
      <c r="I31" s="10" t="inlineStr">
        <is>
          <t>TEST_DATA_DEVIATION; PARTIAL_BRANCH</t>
        </is>
      </c>
      <c r="J31" s="3" t="inlineStr">
        <is>
          <t>DEF-002</t>
        </is>
      </c>
      <c r="K31" s="3" t="inlineStr">
        <is>
          <t>Medium (đề xuất)</t>
        </is>
      </c>
      <c r="L31" s="3" t="inlineStr">
        <is>
          <t>evidence/MEM-05_rId17_image12.png
evidence/MEM-05_rId18_image16.png
Nguồn xác nhận: Kiểm thử phần mềm.docx B85, B87, B89
Giới hạn ảnh: rId17: Không phải nhánh ADMIN/PREMIUM nêu trong kịch bản; cần xem kèm rId18.
rId18: Xác nhận sai hạng khi xem cùng rId17/ghi chú; chưa có kết quả nhánh ADMIN.</t>
        </is>
      </c>
      <c r="M31" s="3" t="inlineStr">
        <is>
          <r>
            <rPr>
              <rFont val="Calibri"/>
              <i val="1"/>
              <sz val="11"/>
            </rPr>
            <t>( khi thêm thành viên, chọn hạng thành viên không tác dụng, thành viên tạo ra luôn luôn là STANDARD)</t>
          </r>
        </is>
      </c>
      <c r="N31" s="3" t="inlineStr">
        <is>
          <t>Nhom8-DGVKDCLPM_bao-cao-dang-test.docx B302/R10; Kiểm thử phần mềm.docx B85, B87, B89</t>
        </is>
      </c>
      <c r="O31" s="3" t="n"/>
      <c r="P31" s="3" t="n"/>
      <c r="Q31" s="3" t="inlineStr">
        <is>
          <t>Sai lệch hạng đã được xác nhận so với kỳ vọng lưu đúng lựa chọn. Chỉ xác nhận nhánh hạng; ảnh dùng LECTURER, cần retest đúng PREMIUM và ADMIN trong kịch bản. Không khẳng định ADMIN cũng bị lưu USER.</t>
        </is>
      </c>
      <c r="R31" s="3" t="inlineStr">
        <is>
          <t>Cam #FF9900</t>
        </is>
      </c>
    </row>
    <row r="32" ht="83" customHeight="1">
      <c r="A32" s="4" t="inlineStr">
        <is>
          <t>INV-01</t>
        </is>
      </c>
      <c r="B32" s="2" t="inlineStr">
        <is>
          <t>INV</t>
        </is>
      </c>
      <c r="C32" s="2" t="inlineStr">
        <is>
          <t>Kho dự kiến: Admin mở /inventory, bấm 'Xem chi tiết' và tìm một barcode.</t>
        </is>
      </c>
      <c r="D32" s="2" t="inlineStr">
        <is>
          <t>Theo kế hoạch: Admin; BookItem AVAILABLE và barcode xác định; mã lạ; phiên kiểm kê thử.</t>
        </is>
      </c>
      <c r="E32" s="2" t="inlineStr">
        <is>
          <t>Dữ liệu theo kịch bản: Kho dự kiến: Admin mở /inventory, bấm 'Xem chi tiết' và tìm một barcode. Giá trị thực tế chưa được ghi riêng.</t>
        </is>
      </c>
      <c r="F32" s="2" t="inlineStr">
        <is>
          <t>Chỉ các bản đang ở trạng thái AVAILABLE được tính là dự kiến có trên kệ.</t>
        </is>
      </c>
      <c r="G32" s="2" t="inlineStr">
        <is>
          <t>Theo xác nhận màu xanh trên toàn bộ phần mô tả/kỳ vọng của Tester: chỉ các bản đang AVAILABLE được tính là dự kiến trên kệ.</t>
        </is>
      </c>
      <c r="H32" s="5" t="inlineStr">
        <is>
          <t>PASS</t>
        </is>
      </c>
      <c r="I32" s="4" t="inlineStr"/>
      <c r="J32" s="2" t="inlineStr"/>
      <c r="K32" s="2" t="inlineStr"/>
      <c r="L32" s="2" t="inlineStr">
        <is>
          <t>evidence/INV-01_rId19_image15.png
Nguồn xác nhận: Kiểm thử phần mềm.docx B92, B93
Giới hạn ảnh: rId19: Không thể đối chiếu toàn bộ166 bản bằng một ảnh; không thấy thao tác tìm barcode riêng.</t>
        </is>
      </c>
      <c r="M32" s="2" t="inlineStr"/>
      <c r="N32" s="2" t="inlineStr">
        <is>
          <t>Nhom8-DGVKDCLPM_bao-cao-dang-test.docx B306/R2; Kiểm thử phần mềm.docx B92, B93</t>
        </is>
      </c>
      <c r="O32" s="2" t="n"/>
      <c r="P32" s="2" t="n"/>
      <c r="Q32" s="2" t="inlineStr">
        <is>
          <t>Đề xuất PASS từ xác nhận bằng văn bản màu xanh, không phải lần thực thi mới; chưa có nhật ký kết quả riêng cho từng bước.</t>
        </is>
      </c>
      <c r="R32" s="2" t="inlineStr">
        <is>
          <t>Xanh #00FF00</t>
        </is>
      </c>
    </row>
    <row r="33" ht="83" customHeight="1">
      <c r="A33" s="4" t="inlineStr">
        <is>
          <t>INV-02</t>
        </is>
      </c>
      <c r="B33" s="3" t="inlineStr">
        <is>
          <t>INV</t>
        </is>
      </c>
      <c r="C33" s="3" t="inlineStr">
        <is>
          <t>Barcode hợp lệ: nhập barcode của một BookItem AVAILABLE rồi đối chiếu.</t>
        </is>
      </c>
      <c r="D33" s="3" t="inlineStr">
        <is>
          <t>Theo kế hoạch: Admin; BookItem AVAILABLE và barcode xác định; mã lạ; phiên kiểm kê thử.</t>
        </is>
      </c>
      <c r="E33" s="3" t="inlineStr">
        <is>
          <t>Ảnh toast đã ghi nhận BC-076691-003; chưa có ảnh nhóm kết quả hợp lệ riêng.</t>
        </is>
      </c>
      <c r="F33" s="3" t="inlineStr">
        <is>
          <t>Barcode được xếp vào nhóm 'Sách hợp lệ'.</t>
        </is>
      </c>
      <c r="G33" s="3" t="inlineStr">
        <is>
          <t>Theo xác nhận màu xanh trên toàn bộ phần mô tả/kỳ vọng của Tester: nằm trong nhóm “Sách hợp lệ”.</t>
        </is>
      </c>
      <c r="H33" s="5" t="inlineStr">
        <is>
          <t>PASS</t>
        </is>
      </c>
      <c r="I33" s="4" t="inlineStr"/>
      <c r="J33" s="3" t="inlineStr"/>
      <c r="K33" s="3" t="inlineStr"/>
      <c r="L33" s="3" t="inlineStr">
        <is>
          <t>evidence/INV-02_rId20_image11.png
Nguồn xác nhận: Kiểm thử phần mềm.docx B97, B98
Giới hạn ảnh: rId20: Chưa thấy barcode đó trong nhóm Sách hợp lệ sau đối chiếu; PASS dựa thêm đánh dấu xanh.</t>
        </is>
      </c>
      <c r="M33" s="3" t="inlineStr"/>
      <c r="N33" s="3" t="inlineStr">
        <is>
          <t>Nhom8-DGVKDCLPM_bao-cao-dang-test.docx B306/R4; Kiểm thử phần mềm.docx B97, B98</t>
        </is>
      </c>
      <c r="O33" s="3" t="n"/>
      <c r="P33" s="3" t="n"/>
      <c r="Q33" s="3" t="inlineStr">
        <is>
          <t>Đề xuất PASS từ xác nhận bằng văn bản màu xanh, không phải lần thực thi mới; chưa có nhật ký kết quả riêng cho từng bước.</t>
        </is>
      </c>
      <c r="R33" s="3" t="inlineStr">
        <is>
          <t>Xanh #00FF00</t>
        </is>
      </c>
    </row>
    <row r="34" ht="68" customHeight="1">
      <c r="A34" s="4" t="inlineStr">
        <is>
          <t>INV-03</t>
        </is>
      </c>
      <c r="B34" s="2" t="inlineStr">
        <is>
          <t>INV</t>
        </is>
      </c>
      <c r="C34" s="2" t="inlineStr">
        <is>
          <t>Quét trùng: nhập cùng một barcode hai lần.</t>
        </is>
      </c>
      <c r="D34" s="2" t="inlineStr">
        <is>
          <t>Theo kế hoạch: Admin; BookItem AVAILABLE và barcode xác định; mã lạ; phiên kiểm kê thử.</t>
        </is>
      </c>
      <c r="E34" s="2" t="inlineStr">
        <is>
          <t>Ảnh toast barcode BC-123123-003 đã quét trước đó; danh sách vẫn 2 mã.</t>
        </is>
      </c>
      <c r="F34" s="2" t="inlineStr">
        <is>
          <t>Danh sách quét không tính trùng barcode.</t>
        </is>
      </c>
      <c r="G34" s="2" t="inlineStr">
        <is>
          <t>Theo xác nhận màu xanh trên toàn bộ phần mô tả/kỳ vọng của Tester: danh sách quét không tính trùng.</t>
        </is>
      </c>
      <c r="H34" s="5" t="inlineStr">
        <is>
          <t>PASS</t>
        </is>
      </c>
      <c r="I34" s="4" t="inlineStr"/>
      <c r="J34" s="2" t="inlineStr"/>
      <c r="K34" s="2" t="inlineStr"/>
      <c r="L34" s="2" t="inlineStr">
        <is>
          <t>evidence/INV-03_rId21_image21.png
Nguồn xác nhận: Kiểm thử phần mềm.docx B100, B101
Giới hạn ảnh: rId21: Không có ảnh lần quét đầu; hỗ trợ ghi nhận xanh không tính trùng.</t>
        </is>
      </c>
      <c r="M34" s="2" t="inlineStr"/>
      <c r="N34" s="2" t="inlineStr">
        <is>
          <t>Nhom8-DGVKDCLPM_bao-cao-dang-test.docx B306/R6; Kiểm thử phần mềm.docx B100, B101</t>
        </is>
      </c>
      <c r="O34" s="2" t="n"/>
      <c r="P34" s="2" t="n"/>
      <c r="Q34" s="2" t="inlineStr">
        <is>
          <t>Đề xuất PASS từ xác nhận bằng văn bản màu xanh, không phải lần thực thi mới; chưa có nhật ký kết quả riêng cho từng bước.</t>
        </is>
      </c>
      <c r="R34" s="2" t="inlineStr">
        <is>
          <t>Xanh #00FF00</t>
        </is>
      </c>
    </row>
    <row r="35" ht="83" customHeight="1">
      <c r="A35" s="4" t="inlineStr">
        <is>
          <t>INV-04</t>
        </is>
      </c>
      <c r="B35" s="3" t="inlineStr">
        <is>
          <t>INV</t>
        </is>
      </c>
      <c r="C35" s="3" t="inlineStr">
        <is>
          <t>Thiếu/bất thường: chỉ quét một phần kho và thêm một mã lạ.</t>
        </is>
      </c>
      <c r="D35" s="3" t="inlineStr">
        <is>
          <t>Theo kế hoạch: Admin; BookItem AVAILABLE và barcode xác định; mã lạ; phiên kiểm kê thử.</t>
        </is>
      </c>
      <c r="E35" s="3" t="inlineStr">
        <is>
          <t>Ảnh quét 3 mã; hợp lệ 2, thiếu 164, bất thường 1; kho dự kiến 166 (xem INV-05).</t>
        </is>
      </c>
      <c r="F35" s="3" t="inlineStr">
        <is>
          <t>Bản có trong kho nhưng chưa quét nằm ở nhóm 'Thiếu'; mã lạ nằm ở nhóm 'Bất thường'.</t>
        </is>
      </c>
      <c r="G35" s="3" t="inlineStr">
        <is>
          <t>Tester ghi “chức năng ổn nhưng chế độ tối hơi khó nhìn”. Ảnh kết quả: 2 sách hợp lệ, 164 thiếu, 1 bất thường; mã lạ thuộc danh sách quét. Hai nhóm Thiếu/Bất thường được hiển thị.</t>
        </is>
      </c>
      <c r="H35" s="5" t="inlineStr">
        <is>
          <t>PASS</t>
        </is>
      </c>
      <c r="I35" s="4" t="inlineStr">
        <is>
          <t>IMPROVEMENT_NOTE</t>
        </is>
      </c>
      <c r="J35" s="3" t="inlineStr"/>
      <c r="K35" s="3" t="inlineStr"/>
      <c r="L35" s="3" t="inlineStr">
        <is>
          <t>evidence/INV-04_rId22_image19.png
Nguồn xác nhận: Kiểm thử phần mềm.docx B103, B104, B105
Giới hạn ảnh: rId22: Không có toàn bộ danh sách nhóm/mapping từng mã lạ; Tester ghi chức năng ổn.</t>
        </is>
      </c>
      <c r="M35" s="3" t="inlineStr">
        <is>
          <r>
            <rPr>
              <rFont val="Calibri"/>
              <i val="1"/>
              <sz val="11"/>
            </rPr>
            <t>(chức năng ổn nhưng chế độ tối hơi khó nhìn)</t>
          </r>
        </is>
      </c>
      <c r="N35" s="3" t="inlineStr">
        <is>
          <t>Nhom8-DGVKDCLPM_bao-cao-dang-test.docx B306/R8; Kiểm thử phần mềm.docx B103, B104, B105</t>
        </is>
      </c>
      <c r="O35" s="3" t="n"/>
      <c r="P35" s="3" t="n"/>
      <c r="Q35" s="3" t="inlineStr">
        <is>
          <t>PASS theo xác nhận chức năng và ảnh; Improvement Note: tăng độ dễ đọc ở chế độ tối. Không có kết luận kiểm thử contrast định lượng.</t>
        </is>
      </c>
      <c r="R35" s="3" t="inlineStr">
        <is>
          <t>Cam #FF9900</t>
        </is>
      </c>
    </row>
    <row r="36" ht="128" customHeight="1">
      <c r="A36" s="4" t="inlineStr">
        <is>
          <t>INV-05</t>
        </is>
      </c>
      <c r="B36" s="2" t="inlineStr">
        <is>
          <t>INV</t>
        </is>
      </c>
      <c r="C36" s="2" t="inlineStr">
        <is>
          <t>Xuất báo cáo: xuất Excel và PDF sau khi đối chiếu.</t>
        </is>
      </c>
      <c r="D36" s="2" t="inlineStr">
        <is>
          <t>Theo kế hoạch: Admin; BookItem AVAILABLE và barcode xác định; mã lạ; phiên kiểm kê thử.</t>
        </is>
      </c>
      <c r="E36" s="2" t="inlineStr">
        <is>
          <t>Ảnh kết quả/Excel/PDF: dự kiến 166; quét 3; hợp lệ 2; thiếu 164; bất thường 1. Thời gian hiển thị trong ảnh là dữ liệu hệ thống, không gán Test Date.</t>
        </is>
      </c>
      <c r="F36" s="2" t="inlineStr">
        <is>
          <t>Các file mở được; số lượng ở từng nhóm khớp với màn hình kiểm kê.</t>
        </is>
      </c>
      <c r="G36" s="2" t="inlineStr">
        <is>
          <t>Ảnh Excel và PDF đã mở; số liệu cùng khớp màn hình kiểm kê: dự kiến 166, đã quét 3, hợp lệ 2, thiếu 164, bất thường 1. PDF có chữ tiếng Việt lỗi; Tester ghi “excel ổn nhưng PDF thì không”.</t>
        </is>
      </c>
      <c r="H36" s="5" t="inlineStr">
        <is>
          <t>PASS</t>
        </is>
      </c>
      <c r="I36" s="4" t="inlineStr">
        <is>
          <t>IMPROVEMENT_NOTE</t>
        </is>
      </c>
      <c r="J36" s="2" t="inlineStr"/>
      <c r="K36" s="2" t="inlineStr"/>
      <c r="L36" s="2" t="inlineStr">
        <is>
          <t>evidence/INV-05_rId23_image13.png
evidence/INV-05_rId24_image4.png
Nguồn xác nhận: Kiểm thử phần mềm.docx B107, B109, B110
Giới hạn ảnh: rId23: Không có file Excel gốc kèm nguồn; chỉ kiểm chứng số lượng nhìn thấy.
rId24: Đây là PDF kiểm kê INV-05, không phải PDF thống kê DASH-02; không thay evidence Dashboard.</t>
        </is>
      </c>
      <c r="M36" s="2" t="inlineStr">
        <is>
          <r>
            <rPr>
              <rFont val="Calibri"/>
              <i val="1"/>
              <sz val="11"/>
            </rPr>
            <t>(excel ổn nhưng PDF thì không)</t>
          </r>
        </is>
      </c>
      <c r="N36" s="2" t="inlineStr">
        <is>
          <t>Nhom8-DGVKDCLPM_bao-cao-dang-test.docx B306/R10; Kiểm thử phần mềm.docx B107, B109, B110</t>
        </is>
      </c>
      <c r="O36" s="2" t="n"/>
      <c r="P36" s="2" t="n"/>
      <c r="Q36" s="2" t="inlineStr">
        <is>
          <t>PASS theo Expected gốc (mở file và số lượng khớp). Lỗi font không nằm trong Expected riêng của INV-05; giữ ghi chú chất lượng, liên quan DEF-003 và yêu cầu Unicode ở báo cáo B141. Không thay Expected.</t>
        </is>
      </c>
      <c r="R36" s="2" t="inlineStr">
        <is>
          <t>Cam #FF9900</t>
        </is>
      </c>
    </row>
    <row r="37" ht="158" customHeight="1">
      <c r="A37" s="6" t="inlineStr">
        <is>
          <t>DASH-01</t>
        </is>
      </c>
      <c r="B37" s="3" t="inlineStr">
        <is>
          <t>DASH</t>
        </is>
      </c>
      <c r="C37" s="3" t="inlineStr">
        <is>
          <t>Dashboard Admin: kiểm tra các thẻ thống kê, biểu đồ, sách nổi bật và hoạt động gần đây.</t>
        </is>
      </c>
      <c r="D37" s="3" t="inlineStr">
        <is>
          <t>Theo kế hoạch: Admin và dữ liệu thống kê tối thiểu; chưa ghi snapshot/phiên dữ liệu đầy đủ.</t>
        </is>
      </c>
      <c r="E37" s="3" t="inlineStr">
        <is>
          <t>Dữ liệu theo kịch bản: Dashboard Admin: kiểm tra các thẻ thống kê, biểu đồ, sách nổi bật và hoạt động gần đây. Giá trị thực tế chưa được ghi riêng.</t>
        </is>
      </c>
      <c r="F37" s="3" t="inlineStr">
        <is>
          <t>Các khu vực hiển thị dữ liệu và không xuất hiện lỗi tải dữ liệu.</t>
        </is>
      </c>
      <c r="G37" s="3" t="inlineStr">
        <is>
          <t>Ảnh Dashboard có thẻ số liệu và biểu đồ; Tester ghi số độc giả hoạt động không khớp tab thành viên, đề nghị kiểm tra thêm tổng đầu sách/đang cho mượn.</t>
        </is>
      </c>
      <c r="H37" s="7" t="n"/>
      <c r="I37" s="6" t="inlineStr">
        <is>
          <t>NEEDS_REVIEW</t>
        </is>
      </c>
      <c r="J37" s="3" t="inlineStr"/>
      <c r="K37" s="3" t="inlineStr"/>
      <c r="L37" s="3" t="inlineStr">
        <is>
          <t>evidence/DASH-01_rId25_image7.png
evidence/DASH-01_rId26_image5.png
Nguồn xác nhận: Kiểm thử phần mềm.docx B113, B115, B116
Giới hạn ảnh: rId25: Ảnh cắt phần dưới, chưa có đủ hoạt động gần đây; không có snapshot cùng thời điểm với tab thành viên.
rId26: Không có thời điểm/định nghĩa KPI; không gán email fads cho lần lỗi MEM-02 vì chưa có mapping danh tính.</t>
        </is>
      </c>
      <c r="M37" s="3" t="inlineStr">
        <is>
          <r>
            <rPr>
              <rFont val="Calibri"/>
              <i val="1"/>
              <sz val="11"/>
            </rPr>
            <t>(Độc giả hoạt động ở dashboard không khớp với độc giả ở tab quản lý độc giả. tương tự kiểm tra với các thống kê khác: tổng đầu sách, đang cho mượn)</t>
          </r>
        </is>
      </c>
      <c r="N37" s="3" t="inlineStr">
        <is>
          <t>Nhom8-DGVKDCLPM_bao-cao-dang-test.docx B310/R2; Kiểm thử phần mềm.docx B113, B115, B116</t>
        </is>
      </c>
      <c r="O37" s="3" t="n"/>
      <c r="P37" s="3" t="n"/>
      <c r="Q37" s="3" t="inlineStr">
        <is>
          <t>Chưa có xác nhận đầy đủ sách nổi bật/hoạt động gần đây/không lỗi tải. Cần thống nhất định nghĩa KPI và ảnh cùng thời điểm; không suy ra mọi chỉ số đều sai.</t>
        </is>
      </c>
      <c r="R37" s="3" t="inlineStr">
        <is>
          <t>Cam #FF9900</t>
        </is>
      </c>
    </row>
    <row r="38" ht="98" customHeight="1">
      <c r="A38" s="10" t="inlineStr">
        <is>
          <t>DASH-02</t>
        </is>
      </c>
      <c r="B38" s="2" t="inlineStr">
        <is>
          <t>DASH</t>
        </is>
      </c>
      <c r="C38" s="2" t="inlineStr">
        <is>
          <t>PDF thống kê: xuất báo cáo thống kê.</t>
        </is>
      </c>
      <c r="D38" s="2" t="inlineStr">
        <is>
          <t>Theo kế hoạch: Admin và dữ liệu thống kê tối thiểu; chưa ghi snapshot/phiên dữ liệu đầy đủ.</t>
        </is>
      </c>
      <c r="E38" s="2" t="inlineStr">
        <is>
          <t>Dữ liệu theo kịch bản: PDF thống kê: xuất báo cáo thống kê. Giá trị thực tế chưa được ghi riêng.</t>
        </is>
      </c>
      <c r="F38" s="2" t="inlineStr">
        <is>
          <t>PDF mở được và tiếng Việt hiển thị đúng, không lỗi font.</t>
        </is>
      </c>
      <c r="G38" s="2" t="inlineStr">
        <is>
          <t>Tester ghi PDF mở được nhưng lỗi font, tương tự INV-05. Chưa có ảnh/file PDF Dashboard riêng; ảnh PDF kiểm kê chỉ là bằng chứng tham chiếu triệu chứng.</t>
        </is>
      </c>
      <c r="H38" s="11" t="inlineStr">
        <is>
          <t>FAIL</t>
        </is>
      </c>
      <c r="I38" s="10" t="inlineStr">
        <is>
          <t>EVIDENCE_MISSING</t>
        </is>
      </c>
      <c r="J38" s="2" t="inlineStr">
        <is>
          <t>DEF-003</t>
        </is>
      </c>
      <c r="K38" s="2" t="inlineStr">
        <is>
          <t>Medium (đề xuất)</t>
        </is>
      </c>
      <c r="L38" s="2" t="inlineStr">
        <is>
          <t>Nguồn văn bản/đánh dấu: Kiểm thử phần mềm.docx B118, B119
Evidence Missing: screenshot/log/file kết quả trực tiếp.
Ảnh tham chiếu triệu chứng INV-05 (không phải PDF Dashboard): evidence/INV-05_rId24_image4.png</t>
        </is>
      </c>
      <c r="M38" s="2" t="inlineStr">
        <is>
          <r>
            <rPr>
              <rFont val="Calibri"/>
              <i val="1"/>
              <sz val="11"/>
            </rPr>
            <t xml:space="preserve">(mở được nhưng lỗi font, như ở </t>
          </r>
          <r>
            <t> </t>
          </r>
          <r>
            <t>INV-05)</t>
          </r>
        </is>
      </c>
      <c r="N38" s="2" t="inlineStr">
        <is>
          <t>Nhom8-DGVKDCLPM_bao-cao-dang-test.docx B310/R4; Kiểm thử phần mềm.docx B118, B119</t>
        </is>
      </c>
      <c r="O38" s="2" t="n"/>
      <c r="P38" s="2" t="n"/>
      <c r="Q38" s="2" t="inlineStr">
        <is>
          <t>FAIL vì Expected yêu cầu tiếng Việt không lỗi font. Chấp nhận ghi nhận trực tiếp của Tester; thiếu ảnh/file PDF Dashboard riêng. Source hiện tại không chứng minh bug đã được sửa.</t>
        </is>
      </c>
      <c r="R38" s="2" t="inlineStr">
        <is>
          <t>Cam #FF9900</t>
        </is>
      </c>
    </row>
    <row r="39" ht="68" customHeight="1">
      <c r="A39" s="8" t="inlineStr">
        <is>
          <t>NOTI-01</t>
        </is>
      </c>
      <c r="B39" s="3" t="inlineStr">
        <is>
          <t>NOTI</t>
        </is>
      </c>
      <c r="C39" s="3" t="inlineStr">
        <is>
          <t>Chuông thông báo: sau RES-01 hoặc đổi mật khẩu, kiểm tra thông báo mới và số chưa đọc.</t>
        </is>
      </c>
      <c r="D39" s="3" t="inlineStr">
        <is>
          <t>Theo kế hoạch: tài khoản có sự kiện đặt trước/đổi mật khẩu và thông báo; chưa ghi Notification ID.</t>
        </is>
      </c>
      <c r="E39" s="3" t="inlineStr">
        <is>
          <t>Dữ liệu theo kịch bản: Chuông thông báo: sau RES-01 hoặc đổi mật khẩu, kiểm tra thông báo mới và số chưa đọc. Giá trị thực tế chưa được ghi riêng.</t>
        </is>
      </c>
      <c r="F39" s="3" t="inlineStr">
        <is>
          <t>Tài khoản phát sinh sự kiện nhận đúng thông báo; số chưa đọc cập nhật đúng.</t>
        </is>
      </c>
      <c r="G39" s="3" t="inlineStr">
        <is>
          <t>Chưa có kết quả thực thi trong tài liệu (không đánh dấu màu kết quả, không ghi quan sát). Giữ NOT RUN.</t>
        </is>
      </c>
      <c r="H39" s="9" t="inlineStr">
        <is>
          <t>NOT RUN</t>
        </is>
      </c>
      <c r="I39" s="8" t="inlineStr"/>
      <c r="J39" s="3" t="inlineStr"/>
      <c r="K39" s="3" t="inlineStr"/>
      <c r="L39" s="3" t="inlineStr">
        <is>
          <t>Không có evidence thực thi; testcase chưa có kết quả.</t>
        </is>
      </c>
      <c r="M39" s="3" t="inlineStr"/>
      <c r="N39" s="3" t="inlineStr">
        <is>
          <t>Nhom8-DGVKDCLPM_bao-cao-dang-test.docx B310/R6; Kiểm thử phần mềm.docx B120</t>
        </is>
      </c>
      <c r="O39" s="3" t="n"/>
      <c r="P39" s="3" t="n"/>
      <c r="Q39" s="3" t="inlineStr">
        <is>
          <t>Không suy ra trạng thái từ ảnh của testcase khác hay source hiện tại. Thiếu cấu hình/dữ liệu chỉ là điều kiện cần, chưa có ghi nhận bị chặn để gán BLOCKED.</t>
        </is>
      </c>
      <c r="R39" s="3" t="inlineStr">
        <is>
          <t>Không đánh dấu màu kết quả</t>
        </is>
      </c>
    </row>
    <row r="40" ht="83" customHeight="1">
      <c r="A40" s="4" t="inlineStr">
        <is>
          <t>NOTI-02</t>
        </is>
      </c>
      <c r="B40" s="2" t="inlineStr">
        <is>
          <t>NOTI</t>
        </is>
      </c>
      <c r="C40" s="2" t="inlineStr">
        <is>
          <t>Quản lý thông báo: đánh dấu một/tất cả đã đọc, xóa một/xóa tất cả.</t>
        </is>
      </c>
      <c r="D40" s="2" t="inlineStr">
        <is>
          <t>Theo kế hoạch: tài khoản có sự kiện đặt trước/đổi mật khẩu và thông báo; chưa ghi Notification ID.</t>
        </is>
      </c>
      <c r="E40" s="2" t="inlineStr">
        <is>
          <t>Dữ liệu theo kịch bản: Quản lý thông báo: đánh dấu một/tất cả đã đọc, xóa một/xóa tất cả. Giá trị thực tế chưa được ghi riêng.</t>
        </is>
      </c>
      <c r="F40" s="2" t="inlineStr">
        <is>
          <t>Danh sách thông báo và số chưa đọc cập nhật đúng sau từng thao tác.</t>
        </is>
      </c>
      <c r="G40" s="2" t="inlineStr">
        <is>
          <t>Theo xác nhận màu xanh trên toàn bộ phần mô tả/kỳ vọng của Tester: số chưa đọc và danh sách cập nhật.</t>
        </is>
      </c>
      <c r="H40" s="5" t="inlineStr">
        <is>
          <t>PASS</t>
        </is>
      </c>
      <c r="I40" s="4" t="inlineStr"/>
      <c r="J40" s="2" t="inlineStr"/>
      <c r="K40" s="2" t="inlineStr"/>
      <c r="L40" s="2" t="inlineStr">
        <is>
          <t>evidence/NOTI-02_rId27_image17.png
Nguồn xác nhận: Kiểm thử phần mềm.docx B121, B122
Giới hạn ảnh: rId27: Không có ảnh từng thao tác đọc một/xóa một/xóa tất cả; PASS dựa trên xác nhận xanh toàn kịch bản.</t>
        </is>
      </c>
      <c r="M40" s="2" t="inlineStr"/>
      <c r="N40" s="2" t="inlineStr">
        <is>
          <t>Nhom8-DGVKDCLPM_bao-cao-dang-test.docx B310/R8; Kiểm thử phần mềm.docx B121, B122</t>
        </is>
      </c>
      <c r="O40" s="2" t="n"/>
      <c r="P40" s="2" t="n"/>
      <c r="Q40" s="2" t="inlineStr">
        <is>
          <t>Đề xuất PASS từ xác nhận bằng văn bản màu xanh, không phải lần thực thi mới; chưa có nhật ký kết quả riêng cho từng bước.</t>
        </is>
      </c>
      <c r="R40" s="2" t="inlineStr">
        <is>
          <t>Xanh #00FF00</t>
        </is>
      </c>
    </row>
    <row r="41" ht="143" customHeight="1">
      <c r="A41" s="4" t="inlineStr">
        <is>
          <t>SET-01</t>
        </is>
      </c>
      <c r="B41" s="3" t="inlineStr">
        <is>
          <t>SET</t>
        </is>
      </c>
      <c r="C41" s="3" t="inlineStr">
        <is>
          <t>Giao diện: đổi sáng/tối và Việt/Anh, sau đó tải lại trang.</t>
        </is>
      </c>
      <c r="D41" s="3" t="inlineStr">
        <is>
          <t>Theo kế hoạch: Admin/User, trình duyệt cho phép lưu lựa chọn; chưa ghi phiên bản trình duyệt.</t>
        </is>
      </c>
      <c r="E41" s="3" t="inlineStr">
        <is>
          <t>Dữ liệu theo kịch bản: Giao diện: đổi sáng/tối và Việt/Anh, sau đó tải lại trang. Giá trị thực tế chưa được ghi riêng.</t>
        </is>
      </c>
      <c r="F41" s="3" t="inlineStr">
        <is>
          <t>Lựa chọn giao diện và ngôn ngữ được giữ sau khi tải lại.</t>
        </is>
      </c>
      <c r="G41" s="3" t="inlineStr">
        <is>
          <t>Theo xác nhận màu xanh trên toàn bộ phần mô tả/kỳ vọng của Tester: lựa chọn được giữ sau khi tải lại.</t>
        </is>
      </c>
      <c r="H41" s="5" t="inlineStr">
        <is>
          <t>PASS</t>
        </is>
      </c>
      <c r="I41" s="4" t="inlineStr"/>
      <c r="J41" s="3" t="inlineStr"/>
      <c r="K41" s="3" t="inlineStr"/>
      <c r="L41" s="3" t="inlineStr">
        <is>
          <t>evidence/SET-01_rId28_image1.png
evidence/SET-01_rId29_image6.png
Nguồn xác nhận: Kiểm thử phần mềm.docx B123, B125
Giới hạn ảnh: rId28: Không chứng minh đã tải lại trang/lựa chọn được giữ; không dùng để kết luận SET-02 chưa chạy.
rId29: Không chứng minh đã tải lại trang/lựa chọn được giữ; không thấy toàn bộ trang để kết luận quyền quản trị.</t>
        </is>
      </c>
      <c r="M41" s="3" t="inlineStr"/>
      <c r="N41" s="3" t="inlineStr">
        <is>
          <t>Nhom8-DGVKDCLPM_bao-cao-dang-test.docx B310/R10; Kiểm thử phần mềm.docx B123, B125</t>
        </is>
      </c>
      <c r="O41" s="3" t="n"/>
      <c r="P41" s="3" t="n"/>
      <c r="Q41" s="3" t="inlineStr">
        <is>
          <t>Đề xuất PASS từ xác nhận bằng văn bản màu xanh, không phải lần thực thi mới; chưa có nhật ký kết quả riêng cho từng bước.</t>
        </is>
      </c>
      <c r="R41" s="3" t="inlineStr">
        <is>
          <t>Xanh #00FF00</t>
        </is>
      </c>
    </row>
    <row r="42" ht="53" customHeight="1">
      <c r="A42" s="8" t="inlineStr">
        <is>
          <t>SET-02</t>
        </is>
      </c>
      <c r="B42" s="2" t="inlineStr">
        <is>
          <t>SET</t>
        </is>
      </c>
      <c r="C42" s="2" t="inlineStr">
        <is>
          <t>Phân quyền cài đặt: đăng nhập User và mở /settings.</t>
        </is>
      </c>
      <c r="D42" s="2" t="inlineStr">
        <is>
          <t>Theo kế hoạch: Admin/User, trình duyệt cho phép lưu lựa chọn; chưa ghi phiên bản trình duyệt.</t>
        </is>
      </c>
      <c r="E42" s="2" t="inlineStr">
        <is>
          <t>Dữ liệu theo kịch bản: Phân quyền cài đặt: đăng nhập User và mở /settings. Giá trị thực tế chưa được ghi riêng.</t>
        </is>
      </c>
      <c r="F42" s="2" t="inlineStr">
        <is>
          <t>User chỉ thấy phần dành cho tài khoản/giao diện; không thấy nút quản trị tác vụ nhắc hạn.</t>
        </is>
      </c>
      <c r="G42" s="2" t="inlineStr">
        <is>
          <t>Chưa có kết quả thực thi trong tài liệu (không đánh dấu màu kết quả, không ghi quan sát). Giữ NOT RUN.</t>
        </is>
      </c>
      <c r="H42" s="9" t="inlineStr">
        <is>
          <t>NOT RUN</t>
        </is>
      </c>
      <c r="I42" s="8" t="inlineStr"/>
      <c r="J42" s="2" t="inlineStr"/>
      <c r="K42" s="2" t="inlineStr"/>
      <c r="L42" s="2" t="inlineStr">
        <is>
          <t>Không có evidence thực thi; testcase chưa có kết quả.</t>
        </is>
      </c>
      <c r="M42" s="2" t="inlineStr"/>
      <c r="N42" s="2" t="inlineStr">
        <is>
          <t>Nhom8-DGVKDCLPM_bao-cao-dang-test.docx B310/R12; Kiểm thử phần mềm.docx B127</t>
        </is>
      </c>
      <c r="O42" s="2" t="n"/>
      <c r="P42" s="2" t="n"/>
      <c r="Q42" s="2" t="inlineStr">
        <is>
          <t>Không suy ra trạng thái từ ảnh của testcase khác hay source hiện tại. Thiếu cấu hình/dữ liệu chỉ là điều kiện cần, chưa có ghi nhận bị chặn để gán BLOCKED.</t>
        </is>
      </c>
      <c r="R42" s="2" t="inlineStr">
        <is>
          <t>Không đánh dấu màu kết quả</t>
        </is>
      </c>
    </row>
    <row r="43" ht="68" customHeight="1">
      <c r="A43" s="8" t="inlineStr">
        <is>
          <t>PAY-01</t>
        </is>
      </c>
      <c r="B43" s="3" t="inlineStr">
        <is>
          <t>PAY</t>
        </is>
      </c>
      <c r="C43" s="3" t="inlineStr">
        <is>
          <t>Thanh toán giả lập: dùng phiếu đã có tiền phạt do nhóm chuẩn bị, mở cổng thanh toán và bấm Hủy.</t>
        </is>
      </c>
      <c r="D43" s="3" t="inlineStr">
        <is>
          <t>Theo kế hoạch: phiếu có tiền phạt do thành viên phụ trách chuẩn bị; cổng giả lập. Chưa có xác nhận đã chuẩn bị hoặc bị chặn.</t>
        </is>
      </c>
      <c r="E43" s="3" t="inlineStr">
        <is>
          <t>Dữ liệu theo kịch bản: Thanh toán giả lập: dùng phiếu đã có tiền phạt do nhóm chuẩn bị, mở cổng thanh toán và bấm Hủy. Giá trị thực tế chưa được ghi riêng.</t>
        </is>
      </c>
      <c r="F43" s="3" t="inlineStr">
        <is>
          <t>Không đánh dấu tiền phạt là đã thanh toán; dữ liệu phiếu vẫn ở trạng thái chưa tất toán.</t>
        </is>
      </c>
      <c r="G43" s="3" t="inlineStr">
        <is>
          <t>Chưa có kết quả thực thi trong tài liệu (không đánh dấu màu kết quả, không ghi quan sát). Giữ NOT RUN.</t>
        </is>
      </c>
      <c r="H43" s="9" t="inlineStr">
        <is>
          <t>NOT RUN</t>
        </is>
      </c>
      <c r="I43" s="8" t="inlineStr"/>
      <c r="J43" s="3" t="inlineStr"/>
      <c r="K43" s="3" t="inlineStr"/>
      <c r="L43" s="3" t="inlineStr">
        <is>
          <t>Không có evidence thực thi; testcase chưa có kết quả.</t>
        </is>
      </c>
      <c r="M43" s="3" t="inlineStr"/>
      <c r="N43" s="3" t="inlineStr">
        <is>
          <t>Nhom8-DGVKDCLPM_bao-cao-dang-test.docx B314/R2; Kiểm thử phần mềm.docx B129</t>
        </is>
      </c>
      <c r="O43" s="3" t="n"/>
      <c r="P43" s="3" t="n"/>
      <c r="Q43" s="3" t="inlineStr">
        <is>
          <t>Không suy ra trạng thái từ ảnh của testcase khác hay source hiện tại. Thiếu cấu hình/dữ liệu chỉ là điều kiện cần, chưa có ghi nhận bị chặn để gán BLOCKED.</t>
        </is>
      </c>
      <c r="R43" s="3" t="inlineStr">
        <is>
          <t>Không đánh dấu màu kết quả</t>
        </is>
      </c>
    </row>
    <row r="44" ht="53" customHeight="1">
      <c r="A44" s="8" t="inlineStr">
        <is>
          <t>PAY-02</t>
        </is>
      </c>
      <c r="B44" s="2" t="inlineStr">
        <is>
          <t>PAY</t>
        </is>
      </c>
      <c r="C44" s="2" t="inlineStr">
        <is>
          <t>Thanh toán giả lập thành công: dùng phiếu thử khác và xác nhận thanh toán.</t>
        </is>
      </c>
      <c r="D44" s="2" t="inlineStr">
        <is>
          <t>Theo kế hoạch: phiếu có tiền phạt do thành viên phụ trách chuẩn bị; cổng giả lập. Chưa có xác nhận đã chuẩn bị hoặc bị chặn.</t>
        </is>
      </c>
      <c r="E44" s="2" t="inlineStr">
        <is>
          <t>Dữ liệu theo kịch bản: Thanh toán giả lập thành công: dùng phiếu thử khác và xác nhận thanh toán. Giá trị thực tế chưa được ghi riêng.</t>
        </is>
      </c>
      <c r="F44" s="2" t="inlineStr">
        <is>
          <t>Hiển thị giao dịch thành công; tiền phạt được đánh dấu đã thanh toán. Đây là cổng giả lập, không phải giao dịch tiền thật.</t>
        </is>
      </c>
      <c r="G44" s="2" t="inlineStr">
        <is>
          <t>Chưa có kết quả thực thi trong tài liệu (không đánh dấu màu kết quả, không ghi quan sát). Giữ NOT RUN.</t>
        </is>
      </c>
      <c r="H44" s="9" t="inlineStr">
        <is>
          <t>NOT RUN</t>
        </is>
      </c>
      <c r="I44" s="8" t="inlineStr"/>
      <c r="J44" s="2" t="inlineStr"/>
      <c r="K44" s="2" t="inlineStr"/>
      <c r="L44" s="2" t="inlineStr">
        <is>
          <t>Không có evidence thực thi; testcase chưa có kết quả.</t>
        </is>
      </c>
      <c r="M44" s="2" t="inlineStr"/>
      <c r="N44" s="2" t="inlineStr">
        <is>
          <t>Nhom8-DGVKDCLPM_bao-cao-dang-test.docx B314/R4; Kiểm thử phần mềm.docx B130</t>
        </is>
      </c>
      <c r="O44" s="2" t="n"/>
      <c r="P44" s="2" t="n"/>
      <c r="Q44" s="2" t="inlineStr">
        <is>
          <t>Không suy ra trạng thái từ ảnh của testcase khác hay source hiện tại. Thiếu cấu hình/dữ liệu chỉ là điều kiện cần, chưa có ghi nhận bị chặn để gán BLOCKED.</t>
        </is>
      </c>
      <c r="R44" s="2" t="inlineStr">
        <is>
          <t>Không đánh dấu màu kết quả</t>
        </is>
      </c>
    </row>
    <row r="45" ht="83" customHeight="1">
      <c r="A45" s="8" t="inlineStr">
        <is>
          <t>MAIL-01</t>
        </is>
      </c>
      <c r="B45" s="3" t="inlineStr">
        <is>
          <t>MAIL</t>
        </is>
      </c>
      <c r="C45" s="3" t="inlineStr">
        <is>
          <t>Nhắc hạn/email: Admin kích hoạt tác vụ từ Cài đặt và kiểm tra báo cáo xử lý. Chỉ thực thi khi server/.env đã cấu hình hộp thư thử hoặc Ethereal/SMTP phù hợp.</t>
        </is>
      </c>
      <c r="D45" s="3" t="inlineStr">
        <is>
          <t>Theo kế hoạch: Admin; hộp thư thử/Ethereal/SMTP đã xác nhận. Chưa có xác nhận cấu hình hay lần chạy.</t>
        </is>
      </c>
      <c r="E45" s="3" t="inlineStr">
        <is>
          <t>Dữ liệu theo kịch bản: Nhắc hạn/email: Admin kích hoạt tác vụ từ Cài đặt và kiểm tra báo cáo xử lý. Chỉ thực thi khi server/.env đã cấu hình hộp thư thử hoặc Ethereal/SMTP phù hợp. Giá trị thực tế chưa được ghi riêng.</t>
        </is>
      </c>
      <c r="F45" s="3" t="inlineStr">
        <is>
          <t>Tác vụ chạy và báo cáo xử lý đúng; email thử được gửi/nhận theo cấu hình kiểm thử.</t>
        </is>
      </c>
      <c r="G45" s="3" t="inlineStr">
        <is>
          <t>Chưa có kết quả thực thi trong tài liệu (không đánh dấu màu kết quả, không ghi quan sát). Giữ NOT RUN.</t>
        </is>
      </c>
      <c r="H45" s="9" t="inlineStr">
        <is>
          <t>NOT RUN</t>
        </is>
      </c>
      <c r="I45" s="8" t="inlineStr"/>
      <c r="J45" s="3" t="inlineStr"/>
      <c r="K45" s="3" t="inlineStr"/>
      <c r="L45" s="3" t="inlineStr">
        <is>
          <t>Không có evidence thực thi; testcase chưa có kết quả.</t>
        </is>
      </c>
      <c r="M45" s="3" t="inlineStr"/>
      <c r="N45" s="3" t="inlineStr">
        <is>
          <t>Nhom8-DGVKDCLPM_bao-cao-dang-test.docx B314/R6; Kiểm thử phần mềm.docx B131</t>
        </is>
      </c>
      <c r="O45" s="3" t="n"/>
      <c r="P45" s="3" t="n"/>
      <c r="Q45" s="3" t="inlineStr">
        <is>
          <t>Không suy ra trạng thái từ ảnh của testcase khác hay source hiện tại. Thiếu cấu hình/dữ liệu chỉ là điều kiện cần, chưa có ghi nhận bị chặn để gán BLOCKED.</t>
        </is>
      </c>
      <c r="R45" s="3" t="inlineStr">
        <is>
          <t>Không đánh dấu màu kết quả</t>
        </is>
      </c>
    </row>
  </sheetData>
  <dataValidations count="1">
    <dataValidation sqref="H2:H45" showDropDown="0" showInputMessage="0" showErrorMessage="1" allowBlank="1" errorTitle="Trạng thái không hợp lệ" error="NEEDS_REVIEW thuộc Review Flag, Status phải để trống." type="list">
      <formula1>"PASS,FAIL,BLOCKED,NOT RUN"</formula1>
    </dataValidation>
  </dataValidations>
  <hyperlinks>
    <hyperlink xmlns:r="http://schemas.openxmlformats.org/officeDocument/2006/relationships" ref="L4" r:id="rId1"/>
    <hyperlink xmlns:r="http://schemas.openxmlformats.org/officeDocument/2006/relationships" ref="L8" r:id="rId2"/>
    <hyperlink xmlns:r="http://schemas.openxmlformats.org/officeDocument/2006/relationships" ref="L11" r:id="rId3"/>
    <hyperlink xmlns:r="http://schemas.openxmlformats.org/officeDocument/2006/relationships" ref="L22" r:id="rId4"/>
    <hyperlink xmlns:r="http://schemas.openxmlformats.org/officeDocument/2006/relationships" ref="L24" r:id="rId5"/>
    <hyperlink xmlns:r="http://schemas.openxmlformats.org/officeDocument/2006/relationships" ref="L25" r:id="rId6"/>
    <hyperlink xmlns:r="http://schemas.openxmlformats.org/officeDocument/2006/relationships" ref="L26" r:id="rId7"/>
    <hyperlink xmlns:r="http://schemas.openxmlformats.org/officeDocument/2006/relationships" ref="L27" r:id="rId8"/>
    <hyperlink xmlns:r="http://schemas.openxmlformats.org/officeDocument/2006/relationships" ref="L28" r:id="rId9"/>
    <hyperlink xmlns:r="http://schemas.openxmlformats.org/officeDocument/2006/relationships" ref="L29" r:id="rId10"/>
    <hyperlink xmlns:r="http://schemas.openxmlformats.org/officeDocument/2006/relationships" ref="L30" r:id="rId11"/>
    <hyperlink xmlns:r="http://schemas.openxmlformats.org/officeDocument/2006/relationships" ref="L31" r:id="rId12"/>
    <hyperlink xmlns:r="http://schemas.openxmlformats.org/officeDocument/2006/relationships" ref="L32" r:id="rId13"/>
    <hyperlink xmlns:r="http://schemas.openxmlformats.org/officeDocument/2006/relationships" ref="L33" r:id="rId14"/>
    <hyperlink xmlns:r="http://schemas.openxmlformats.org/officeDocument/2006/relationships" ref="L34" r:id="rId15"/>
    <hyperlink xmlns:r="http://schemas.openxmlformats.org/officeDocument/2006/relationships" ref="L35" r:id="rId16"/>
    <hyperlink xmlns:r="http://schemas.openxmlformats.org/officeDocument/2006/relationships" ref="L36" r:id="rId17"/>
    <hyperlink xmlns:r="http://schemas.openxmlformats.org/officeDocument/2006/relationships" ref="L37" r:id="rId18"/>
    <hyperlink xmlns:r="http://schemas.openxmlformats.org/officeDocument/2006/relationships" ref="L40" r:id="rId19"/>
    <hyperlink xmlns:r="http://schemas.openxmlformats.org/officeDocument/2006/relationships" ref="L41" r:id="rId20"/>
  </hyperlinks>
  <pageMargins left="0.75" right="0.75" top="1" bottom="1" header="0.5" footer="0.5"/>
  <pageSetup orientation="landscape" paperSize="8" fitToHeight="0" fitToWidth="1"/>
  <legacyDrawing xmlns:r="http://schemas.openxmlformats.org/officeDocument/2006/relationships" r:id="anysvml"/>
  <tableParts count="1">
    <tablePart xmlns:r="http://schemas.openxmlformats.org/officeDocument/2006/relationships" r:id="rId21"/>
  </tableParts>
</worksheet>
</file>

<file path=xl/worksheets/sheet3.xml><?xml version="1.0" encoding="utf-8"?>
<worksheet xmlns="http://schemas.openxmlformats.org/spreadsheetml/2006/main">
  <sheetPr>
    <outlinePr summaryBelow="1" summaryRight="1"/>
    <pageSetUpPr fitToPage="1"/>
  </sheetPr>
  <dimension ref="A1:C18"/>
  <sheetViews>
    <sheetView zoomScale="85" workbookViewId="0">
      <pane ySplit="1" topLeftCell="A2" activePane="bottomLeft" state="frozen"/>
      <selection pane="bottomLeft" activeCell="A1" sqref="A1"/>
    </sheetView>
  </sheetViews>
  <sheetFormatPr baseColWidth="8" defaultRowHeight="15"/>
  <cols>
    <col width="45" customWidth="1" min="1" max="1"/>
    <col width="22" customWidth="1" min="2" max="2"/>
    <col width="112" customWidth="1" min="3" max="3"/>
  </cols>
  <sheetData>
    <row r="1" ht="32" customHeight="1">
      <c r="A1" s="1" t="inlineStr">
        <is>
          <t>Metric</t>
        </is>
      </c>
      <c r="B1" s="1" t="inlineStr">
        <is>
          <t>Value</t>
        </is>
      </c>
      <c r="C1" s="1" t="inlineStr">
        <is>
          <t>Scope / Explanation</t>
        </is>
      </c>
    </row>
    <row r="2" ht="36" customHeight="1">
      <c r="A2" s="2" t="inlineStr">
        <is>
          <t>Total Original Testcases</t>
        </is>
      </c>
      <c r="B2" s="2">
        <f>COUNTA('Test Results'!A2:A45)</f>
        <v>44</v>
      </c>
      <c r="C2" s="2" t="inlineStr">
        <is>
          <t>Bộ testcase gốc hiện có; không phải kết quả cuối toàn nhóm</t>
        </is>
      </c>
    </row>
    <row r="3" ht="36" customHeight="1">
      <c r="A3" s="3" t="inlineStr">
        <is>
          <t>Total Testcases (classified scope)</t>
        </is>
      </c>
      <c r="B3" s="3">
        <f>COUNTIF('Test Results'!H2:H45,"PASS")+COUNTIF('Test Results'!H2:H45,"FAIL")+COUNTIF('Test Results'!H2:H45,"BLOCKED")+COUNTIF('Test Results'!H2:H45,"NOT RUN")</f>
        <v>37</v>
      </c>
      <c r="C3" s="3" t="inlineStr">
        <is>
          <t>Tổng thuộc phạm vi thống kê 4 trạng thái chính thức; không gồm 7 ca trống đang review</t>
        </is>
      </c>
    </row>
    <row r="4" ht="36" customHeight="1">
      <c r="A4" s="2" t="inlineStr">
        <is>
          <t>Executed Testcases</t>
        </is>
      </c>
      <c r="B4" s="2">
        <f>B5+B6</f>
        <v>30</v>
      </c>
      <c r="C4" s="2" t="inlineStr">
        <is>
          <t>PASS + FAIL; không tính BLOCKED/NOT RUN/NEEDS_REVIEW</t>
        </is>
      </c>
    </row>
    <row r="5" ht="36" customHeight="1">
      <c r="A5" s="3" t="inlineStr">
        <is>
          <t>Passed Testcases</t>
        </is>
      </c>
      <c r="B5" s="3">
        <f>COUNTIF('Test Results'!H2:H45,"PASS")</f>
        <v>27</v>
      </c>
      <c r="C5" s="3" t="inlineStr">
        <is>
          <t>Đề xuất từ ghi chú Tester và Expected gốc</t>
        </is>
      </c>
    </row>
    <row r="6" ht="36" customHeight="1">
      <c r="A6" s="2" t="inlineStr">
        <is>
          <t>Failed Testcases</t>
        </is>
      </c>
      <c r="B6" s="2">
        <f>COUNTIF('Test Results'!H2:H45,"FAIL")</f>
        <v>3</v>
      </c>
      <c r="C6" s="2" t="inlineStr">
        <is>
          <t>Mỗi ca FAIL liên kết một defect chính thức</t>
        </is>
      </c>
    </row>
    <row r="7" ht="36" customHeight="1">
      <c r="A7" s="3" t="inlineStr">
        <is>
          <t>Blocked Testcases</t>
        </is>
      </c>
      <c r="B7" s="3">
        <f>COUNTIF('Test Results'!H2:H45,"BLOCKED")</f>
        <v>0</v>
      </c>
      <c r="C7" s="3" t="inlineStr">
        <is>
          <t>Chưa có ghi nhận lần chạy bị chặn; không suy từ điều kiện cấu hình</t>
        </is>
      </c>
    </row>
    <row r="8" ht="36" customHeight="1">
      <c r="A8" s="2" t="inlineStr">
        <is>
          <t>Not Run Testcases</t>
        </is>
      </c>
      <c r="B8" s="2">
        <f>COUNTIF('Test Results'!H2:H45,"NOT RUN")</f>
        <v>7</v>
      </c>
      <c r="C8" s="2" t="inlineStr">
        <is>
          <t>Không có kết quả thực thi; cần xác nhận nếu đã chạy mà chưa ghi</t>
        </is>
      </c>
    </row>
    <row r="9" ht="36" customHeight="1">
      <c r="A9" s="3" t="inlineStr">
        <is>
          <t>Needs Review</t>
        </is>
      </c>
      <c r="B9" s="3">
        <f>COUNTIF('Test Results'!I2:I45,"NEEDS_REVIEW")</f>
        <v>7</v>
      </c>
      <c r="C9" s="3" t="inlineStr">
        <is>
          <t>Status trống, Review Flag = NEEDS_REVIEW; ngoài tổng phân loại chính thức</t>
        </is>
      </c>
    </row>
    <row r="10" ht="36" customHeight="1">
      <c r="A10" s="2" t="inlineStr">
        <is>
          <t>Pass Rate</t>
        </is>
      </c>
      <c r="B10" s="12">
        <f>IFERROR(B5/B4,0)</f>
        <v>0.9</v>
      </c>
      <c r="C10" s="2" t="inlineStr">
        <is>
          <t>PASS / (PASS + FAIL)</t>
        </is>
      </c>
    </row>
    <row r="11" ht="36" customHeight="1">
      <c r="A11" s="3" t="inlineStr">
        <is>
          <t>Execution Rate (classified scope)</t>
        </is>
      </c>
      <c r="B11" s="13">
        <f>IFERROR(B4/B3,0)</f>
        <v>0.810810810810811</v>
      </c>
      <c r="C11" s="3" t="inlineStr">
        <is>
          <t>Executed / Total classified (37); không dùng để thay tỷ lệ trên toàn bộ44</t>
        </is>
      </c>
    </row>
    <row r="12" ht="36" customHeight="1">
      <c r="A12" s="2" t="inlineStr">
        <is>
          <t>Execution Rate (original 44)</t>
        </is>
      </c>
      <c r="B12" s="12">
        <f>IFERROR(B4/B2,0)</f>
        <v>0.681818181818182</v>
      </c>
      <c r="C12" s="2" t="inlineStr">
        <is>
          <t>Executed / 44; tỷ lệ bộ gốc dùng trong báo cáo sơ bộ</t>
        </is>
      </c>
    </row>
    <row r="13" ht="36" customHeight="1">
      <c r="A13" s="3" t="inlineStr">
        <is>
          <t>Total Confirmed Defects</t>
        </is>
      </c>
      <c r="B13" s="3" t="n">
        <v>3</v>
      </c>
      <c r="C13" s="3" t="inlineStr">
        <is>
          <t>Không gồm 5 potential defects</t>
        </is>
      </c>
    </row>
    <row r="14" ht="36" customHeight="1">
      <c r="A14" s="2" t="inlineStr">
        <is>
          <t>Defects by Severity — Medium proposed</t>
        </is>
      </c>
      <c r="B14" s="2" t="n">
        <v>3</v>
      </c>
      <c r="C14" s="2" t="inlineStr">
        <is>
          <t>Severity đề xuất, cần nhóm xác nhận tác động; High/Critical/Low chưa có</t>
        </is>
      </c>
    </row>
    <row r="15" ht="36" customHeight="1">
      <c r="A15" s="3" t="inlineStr">
        <is>
          <t>Official status reconciliation</t>
        </is>
      </c>
      <c r="B15" s="3">
        <f>SUM(B5:B8)</f>
        <v>37</v>
      </c>
      <c r="C15" s="3" t="inlineStr">
        <is>
          <t>PASS + FAIL + BLOCKED + NOT RUN = 37</t>
        </is>
      </c>
    </row>
    <row r="16" ht="36" customHeight="1">
      <c r="A16" s="2" t="inlineStr">
        <is>
          <t>Full roster reconciliation</t>
        </is>
      </c>
      <c r="B16" s="2">
        <f>B3+B9</f>
        <v>44</v>
      </c>
      <c r="C16" s="2" t="inlineStr">
        <is>
          <t>37 đã phân loại + 7 cần review = 44</t>
        </is>
      </c>
    </row>
    <row r="17" ht="36" customHeight="1">
      <c r="A17" s="3" t="inlineStr">
        <is>
          <t>No direct screenshot/log/file</t>
        </is>
      </c>
      <c r="B17" s="3" t="n">
        <v>17</v>
      </c>
      <c r="C17" s="3" t="inlineStr">
        <is>
          <t>Có ghi chú văn bản nhưng thiếu evidence trực tiếp; xem Evidence Gaps</t>
        </is>
      </c>
    </row>
    <row r="18" ht="36" customHeight="1">
      <c r="A18" s="2" t="inlineStr">
        <is>
          <t>Potential Defects</t>
        </is>
      </c>
      <c r="B18" s="2" t="n">
        <v>5</v>
      </c>
      <c r="C18" s="2" t="inlineStr">
        <is>
          <t>Cần xác minh, không coi là defect chính thức</t>
        </is>
      </c>
    </row>
  </sheetData>
  <autoFilter ref="A1:C18"/>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H12"/>
  <sheetViews>
    <sheetView zoomScale="85"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9" customWidth="1" min="2" max="2"/>
    <col width="14" customWidth="1" min="3" max="3"/>
    <col width="14" customWidth="1" min="4" max="4"/>
    <col width="15" customWidth="1" min="5" max="5"/>
    <col width="15" customWidth="1" min="6" max="6"/>
    <col width="20" customWidth="1" min="7" max="7"/>
    <col width="17" customWidth="1" min="8" max="8"/>
  </cols>
  <sheetData>
    <row r="1" ht="32" customHeight="1">
      <c r="A1" s="1" t="inlineStr">
        <is>
          <t>Module</t>
        </is>
      </c>
      <c r="B1" s="1" t="inlineStr">
        <is>
          <t>Original Total</t>
        </is>
      </c>
      <c r="C1" s="1" t="inlineStr">
        <is>
          <t>PASS</t>
        </is>
      </c>
      <c r="D1" s="1" t="inlineStr">
        <is>
          <t>FAIL</t>
        </is>
      </c>
      <c r="E1" s="1" t="inlineStr">
        <is>
          <t>BLOCKED</t>
        </is>
      </c>
      <c r="F1" s="1" t="inlineStr">
        <is>
          <t>NOT RUN</t>
        </is>
      </c>
      <c r="G1" s="1" t="inlineStr">
        <is>
          <t>NEEDS_REVIEW</t>
        </is>
      </c>
      <c r="H1" s="1" t="inlineStr">
        <is>
          <t>Executed</t>
        </is>
      </c>
    </row>
    <row r="2" ht="36" customHeight="1">
      <c r="A2" s="2" t="inlineStr">
        <is>
          <t>AUTH</t>
        </is>
      </c>
      <c r="B2" s="2" t="n">
        <v>6</v>
      </c>
      <c r="C2" s="2" t="n">
        <v>4</v>
      </c>
      <c r="D2" s="2" t="n">
        <v>0</v>
      </c>
      <c r="E2" s="2" t="n">
        <v>0</v>
      </c>
      <c r="F2" s="2" t="n">
        <v>1</v>
      </c>
      <c r="G2" s="2" t="n">
        <v>1</v>
      </c>
      <c r="H2" s="2" t="n">
        <v>4</v>
      </c>
    </row>
    <row r="3" ht="36" customHeight="1">
      <c r="A3" s="3" t="inlineStr">
        <is>
          <t>BOOK</t>
        </is>
      </c>
      <c r="B3" s="3" t="n">
        <v>10</v>
      </c>
      <c r="C3" s="3" t="n">
        <v>7</v>
      </c>
      <c r="D3" s="3" t="n">
        <v>0</v>
      </c>
      <c r="E3" s="3" t="n">
        <v>0</v>
      </c>
      <c r="F3" s="3" t="n">
        <v>1</v>
      </c>
      <c r="G3" s="3" t="n">
        <v>2</v>
      </c>
      <c r="H3" s="3" t="n">
        <v>7</v>
      </c>
    </row>
    <row r="4" ht="36" customHeight="1">
      <c r="A4" s="2" t="inlineStr">
        <is>
          <t>EXCEL</t>
        </is>
      </c>
      <c r="B4" s="2" t="n">
        <v>4</v>
      </c>
      <c r="C4" s="2" t="n">
        <v>4</v>
      </c>
      <c r="D4" s="2" t="n">
        <v>0</v>
      </c>
      <c r="E4" s="2" t="n">
        <v>0</v>
      </c>
      <c r="F4" s="2" t="n">
        <v>0</v>
      </c>
      <c r="G4" s="2" t="n">
        <v>0</v>
      </c>
      <c r="H4" s="2" t="n">
        <v>4</v>
      </c>
    </row>
    <row r="5" ht="36" customHeight="1">
      <c r="A5" s="3" t="inlineStr">
        <is>
          <t>RES</t>
        </is>
      </c>
      <c r="B5" s="3" t="n">
        <v>5</v>
      </c>
      <c r="C5" s="3" t="n">
        <v>3</v>
      </c>
      <c r="D5" s="3" t="n">
        <v>0</v>
      </c>
      <c r="E5" s="3" t="n">
        <v>0</v>
      </c>
      <c r="F5" s="3" t="n">
        <v>0</v>
      </c>
      <c r="G5" s="3" t="n">
        <v>2</v>
      </c>
      <c r="H5" s="3" t="n">
        <v>3</v>
      </c>
    </row>
    <row r="6" ht="36" customHeight="1">
      <c r="A6" s="2" t="inlineStr">
        <is>
          <t>MEM</t>
        </is>
      </c>
      <c r="B6" s="2" t="n">
        <v>5</v>
      </c>
      <c r="C6" s="2" t="n">
        <v>2</v>
      </c>
      <c r="D6" s="2" t="n">
        <v>2</v>
      </c>
      <c r="E6" s="2" t="n">
        <v>0</v>
      </c>
      <c r="F6" s="2" t="n">
        <v>0</v>
      </c>
      <c r="G6" s="2" t="n">
        <v>1</v>
      </c>
      <c r="H6" s="2" t="n">
        <v>4</v>
      </c>
    </row>
    <row r="7" ht="36" customHeight="1">
      <c r="A7" s="3" t="inlineStr">
        <is>
          <t>INV</t>
        </is>
      </c>
      <c r="B7" s="3" t="n">
        <v>5</v>
      </c>
      <c r="C7" s="3" t="n">
        <v>5</v>
      </c>
      <c r="D7" s="3" t="n">
        <v>0</v>
      </c>
      <c r="E7" s="3" t="n">
        <v>0</v>
      </c>
      <c r="F7" s="3" t="n">
        <v>0</v>
      </c>
      <c r="G7" s="3" t="n">
        <v>0</v>
      </c>
      <c r="H7" s="3" t="n">
        <v>5</v>
      </c>
    </row>
    <row r="8" ht="36" customHeight="1">
      <c r="A8" s="2" t="inlineStr">
        <is>
          <t>DASH</t>
        </is>
      </c>
      <c r="B8" s="2" t="n">
        <v>2</v>
      </c>
      <c r="C8" s="2" t="n">
        <v>0</v>
      </c>
      <c r="D8" s="2" t="n">
        <v>1</v>
      </c>
      <c r="E8" s="2" t="n">
        <v>0</v>
      </c>
      <c r="F8" s="2" t="n">
        <v>0</v>
      </c>
      <c r="G8" s="2" t="n">
        <v>1</v>
      </c>
      <c r="H8" s="2" t="n">
        <v>1</v>
      </c>
    </row>
    <row r="9" ht="36" customHeight="1">
      <c r="A9" s="3" t="inlineStr">
        <is>
          <t>NOTI</t>
        </is>
      </c>
      <c r="B9" s="3" t="n">
        <v>2</v>
      </c>
      <c r="C9" s="3" t="n">
        <v>1</v>
      </c>
      <c r="D9" s="3" t="n">
        <v>0</v>
      </c>
      <c r="E9" s="3" t="n">
        <v>0</v>
      </c>
      <c r="F9" s="3" t="n">
        <v>1</v>
      </c>
      <c r="G9" s="3" t="n">
        <v>0</v>
      </c>
      <c r="H9" s="3" t="n">
        <v>1</v>
      </c>
    </row>
    <row r="10" ht="36" customHeight="1">
      <c r="A10" s="2" t="inlineStr">
        <is>
          <t>SET</t>
        </is>
      </c>
      <c r="B10" s="2" t="n">
        <v>2</v>
      </c>
      <c r="C10" s="2" t="n">
        <v>1</v>
      </c>
      <c r="D10" s="2" t="n">
        <v>0</v>
      </c>
      <c r="E10" s="2" t="n">
        <v>0</v>
      </c>
      <c r="F10" s="2" t="n">
        <v>1</v>
      </c>
      <c r="G10" s="2" t="n">
        <v>0</v>
      </c>
      <c r="H10" s="2" t="n">
        <v>1</v>
      </c>
    </row>
    <row r="11" ht="36" customHeight="1">
      <c r="A11" s="3" t="inlineStr">
        <is>
          <t>PAY</t>
        </is>
      </c>
      <c r="B11" s="3" t="n">
        <v>2</v>
      </c>
      <c r="C11" s="3" t="n">
        <v>0</v>
      </c>
      <c r="D11" s="3" t="n">
        <v>0</v>
      </c>
      <c r="E11" s="3" t="n">
        <v>0</v>
      </c>
      <c r="F11" s="3" t="n">
        <v>2</v>
      </c>
      <c r="G11" s="3" t="n">
        <v>0</v>
      </c>
      <c r="H11" s="3" t="n">
        <v>0</v>
      </c>
    </row>
    <row r="12" ht="36" customHeight="1">
      <c r="A12" s="2" t="inlineStr">
        <is>
          <t>MAIL</t>
        </is>
      </c>
      <c r="B12" s="2" t="n">
        <v>1</v>
      </c>
      <c r="C12" s="2" t="n">
        <v>0</v>
      </c>
      <c r="D12" s="2" t="n">
        <v>0</v>
      </c>
      <c r="E12" s="2" t="n">
        <v>0</v>
      </c>
      <c r="F12" s="2" t="n">
        <v>1</v>
      </c>
      <c r="G12" s="2" t="n">
        <v>0</v>
      </c>
      <c r="H12" s="2" t="n">
        <v>0</v>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E8"/>
  <sheetViews>
    <sheetView zoomScale="85" workbookViewId="0">
      <pane ySplit="1" topLeftCell="A2" activePane="bottomLeft" state="frozen"/>
      <selection pane="bottomLeft" activeCell="A1" sqref="A1"/>
    </sheetView>
  </sheetViews>
  <sheetFormatPr baseColWidth="8" defaultRowHeight="15"/>
  <cols>
    <col width="16" customWidth="1" min="1" max="1"/>
    <col width="65" customWidth="1" min="2" max="2"/>
    <col width="80" customWidth="1" min="3" max="3"/>
    <col width="60" customWidth="1" min="4" max="4"/>
    <col width="42" customWidth="1" min="5" max="5"/>
  </cols>
  <sheetData>
    <row r="1" ht="32" customHeight="1">
      <c r="A1" s="1" t="inlineStr">
        <is>
          <t>Test ID</t>
        </is>
      </c>
      <c r="B1" s="1" t="inlineStr">
        <is>
          <t>Recorded Actual</t>
        </is>
      </c>
      <c r="C1" s="1" t="inlineStr">
        <is>
          <t>Reason / Tester Confirmation</t>
        </is>
      </c>
      <c r="D1" s="1" t="inlineStr">
        <is>
          <t>Evidence</t>
        </is>
      </c>
      <c r="E1" s="1" t="inlineStr">
        <is>
          <t>Source Reference</t>
        </is>
      </c>
    </row>
    <row r="2" ht="68" customHeight="1">
      <c r="A2" s="2" t="inlineStr">
        <is>
          <t>AUTH-03</t>
        </is>
      </c>
      <c r="B2" s="2" t="inlineStr">
        <is>
          <t>Ảnh cho thấy trang /login; Tester ghi chữ trắng chìm vào nền. Không có ghi nhận riêng việc phiên bị hủy và thử mở lại trang bảo vệ.</t>
        </is>
      </c>
      <c r="C2" s="2" t="inlineStr">
        <is>
          <t>Cần xác nhận cả hủy phiên và chuyển /login khi mở lại trang bảo vệ; lỗi màu chữ là ghi chú UX riêng.</t>
        </is>
      </c>
      <c r="D2" s="2" t="inlineStr">
        <is>
          <t>evidence/AUTH-03_rId6_image8.png
Nguồn xác nhận: Kiểm thử phần mềm.docx B5, B6, B7
Giới hạn ảnh: rId6: Không ghi lại thao tác đăng xuất/hủy phiên hoặc mở lại trang bảo vệ.</t>
        </is>
      </c>
      <c r="E2" s="2" t="inlineStr">
        <is>
          <t>Kiểm thử phần mềm.docx B5, B6, B7</t>
        </is>
      </c>
    </row>
    <row r="3" ht="83" customHeight="1">
      <c r="A3" s="3" t="inlineStr">
        <is>
          <t>BOOK-01</t>
        </is>
      </c>
      <c r="B3" s="3" t="inlineStr">
        <is>
          <t>Tester ghi: “thanh tìm kiếm trên cùng không có tác dụng.” Ảnh có ô tìm kiếm Header và ô tìm/lọc danh mục; chưa có kết quả từng nhánh của ô danh mục.</t>
        </is>
      </c>
      <c r="C3" s="3" t="inlineStr">
        <is>
          <t>Chưa xác định ô Header thuộc kịch bản BOOK-01 hay chức năng tìm kiếm riêng; cần kết quả tên/tác giả/thể loại/không tìm thấy trước khi chốt.</t>
        </is>
      </c>
      <c r="D3" s="3" t="inlineStr">
        <is>
          <t>evidence/BOOK-01_rId7_image23.png
Nguồn xác nhận: Kiểm thử phần mềm.docx B12, B13, B14
Giới hạn ảnh: rId7: Ảnh không có toàn bộ danh sách kết quả, thể loại hay trạng thái không tìm thấy; chưa chốt ô thuộc kịch bản.</t>
        </is>
      </c>
      <c r="E3" s="3" t="inlineStr">
        <is>
          <t>Kiểm thử phần mềm.docx B12, B13, B14</t>
        </is>
      </c>
    </row>
    <row r="4" ht="68" customHeight="1">
      <c r="A4" s="2" t="inlineStr">
        <is>
          <t>BOOK-04</t>
        </is>
      </c>
      <c r="B4" s="2" t="inlineStr">
        <is>
          <t>Ảnh chỉ có form thêm sách (Số lượng 4, Còn lại 1); ghi chú đề nghị bỏ trường/tự điền NXB. Không có ảnh kết quả tạo sách với 2 bản.</t>
        </is>
      </c>
      <c r="C4" s="2" t="inlineStr">
        <is>
          <t>Thiếu xác nhận 1 đầu sách, 2 bản sao, 2 barcode khác nhau, khả dụng 2; dữ liệu ảnh khác kịch bản gốc.</t>
        </is>
      </c>
      <c r="D4" s="2" t="inlineStr">
        <is>
          <t>evidence/BOOK-04_rId8_image14.png
Nguồn xác nhận: Kiểm thử phần mềm.docx B18, B19, B20
Giới hạn ảnh: rId8: Chỉ là form trước lưu, khác dữ liệu 2 bản; không chứng minh đầu sách/barcode/khả dụng sau tạo.</t>
        </is>
      </c>
      <c r="E4" s="2" t="inlineStr">
        <is>
          <t>Kiểm thử phần mềm.docx B18, B19, B20</t>
        </is>
      </c>
    </row>
    <row r="5" ht="38" customHeight="1">
      <c r="A5" s="3" t="inlineStr">
        <is>
          <t>RES-02</t>
        </is>
      </c>
      <c r="B5" s="3" t="inlineStr">
        <is>
          <t>Tester ghi “(không có chức năng này)”. Không có ảnh hoặc ghi nhận thử tạo yêu cầu cho sách đang khả dụng.</t>
        </is>
      </c>
      <c r="C5" s="3" t="inlineStr">
        <is>
          <t>Không có nút đặt trước có thể là cơ chế từ chối hợp lệ; chưa xác nhận hành vi từ chối tạo yêu cầu. Không đủ căn cứ PASS/FAIL/BLOCKED.</t>
        </is>
      </c>
      <c r="D5" s="3" t="inlineStr">
        <is>
          <t>Nguồn văn bản/đánh dấu: Kiểm thử phần mềm.docx B37, B38
Evidence Missing: screenshot/log/file kết quả trực tiếp.</t>
        </is>
      </c>
      <c r="E5" s="3" t="inlineStr">
        <is>
          <t>Kiểm thử phần mềm.docx B37, B38</t>
        </is>
      </c>
    </row>
    <row r="6" ht="68" customHeight="1">
      <c r="A6" s="2" t="inlineStr">
        <is>
          <t>RES-04</t>
        </is>
      </c>
      <c r="B6" s="2" t="inlineStr">
        <is>
          <t>Ảnh Hồ sơ hiển thị “Đã nhận sách”; Tester ghi không cập nhật lịch sử mượn trả của sách đó sau nhận sách đặt trước.</t>
        </is>
      </c>
      <c r="C6" s="2" t="inlineStr">
        <is>
          <t>Thiếu ghi nhận tìm/lọc, đủ chuỗi WAITING → NOTIFIED → FULFILLED và thông báo khi NOTIFIED. Lịch sử mượn trả cần phối hợp thành viên phụ trách; không kết luận thay họ.</t>
        </is>
      </c>
      <c r="D6" s="2" t="inlineStr">
        <is>
          <t>evidence/RES-04_rId11_image3.png
Nguồn xác nhận: Kiểm thử phần mềm.docx B41, B42, B43
Giới hạn ảnh: rId11: Không có màn hình Admin chuyển trạng thái/thông báo NOTIFIED; không kết luận nghiệp vụ Loan.</t>
        </is>
      </c>
      <c r="E6" s="2" t="inlineStr">
        <is>
          <t>Kiểm thử phần mềm.docx B41, B42, B43</t>
        </is>
      </c>
    </row>
    <row r="7" ht="68" customHeight="1">
      <c r="A7" s="3" t="inlineStr">
        <is>
          <t>MEM-04</t>
        </is>
      </c>
      <c r="B7" s="3" t="inlineStr">
        <is>
          <t>Ảnh và ghi chú xác nhận tài khoản bị chặn mượn; Tester ghi thiếu mục liên hệ Admin để yêu cầu gỡ chặn.</t>
        </is>
      </c>
      <c r="C7" s="3" t="inlineStr">
        <is>
          <t>Chưa xác nhận thao tác Admin đưa vào/gỡ blacklist và bộ lọc sau gỡ. Không dùng ảnh chặn mượn để kết luận đầy đủ kịch bản; liên hệ Admin là đề nghị UX.</t>
        </is>
      </c>
      <c r="D7" s="3" t="inlineStr">
        <is>
          <t>evidence/MEM-04_rId16_image20.png
Nguồn xác nhận: Kiểm thử phần mềm.docx B73, B74, B75
Giới hạn ảnh: rId16: Chưa có ảnh Admin gỡ blacklist/bộ lọc sau gỡ; không tạo kết quả kiểm thử luồng mượn riêng.</t>
        </is>
      </c>
      <c r="E7" s="3" t="inlineStr">
        <is>
          <t>Kiểm thử phần mềm.docx B73, B74, B75</t>
        </is>
      </c>
    </row>
    <row r="8" ht="128" customHeight="1">
      <c r="A8" s="2" t="inlineStr">
        <is>
          <t>DASH-01</t>
        </is>
      </c>
      <c r="B8" s="2" t="inlineStr">
        <is>
          <t>Ảnh Dashboard có thẻ số liệu và biểu đồ; Tester ghi số độc giả hoạt động không khớp tab thành viên, đề nghị kiểm tra thêm tổng đầu sách/đang cho mượn.</t>
        </is>
      </c>
      <c r="C8" s="2" t="inlineStr">
        <is>
          <t>Chưa có xác nhận đầy đủ sách nổi bật/hoạt động gần đây/không lỗi tải. Cần thống nhất định nghĩa KPI và ảnh cùng thời điểm; không suy ra mọi chỉ số đều sai.</t>
        </is>
      </c>
      <c r="D8" s="2" t="inlineStr">
        <is>
          <t>evidence/DASH-01_rId25_image7.png
evidence/DASH-01_rId26_image5.png
Nguồn xác nhận: Kiểm thử phần mềm.docx B113, B115, B116
Giới hạn ảnh: rId25: Ảnh cắt phần dưới, chưa có đủ hoạt động gần đây; không có snapshot cùng thời điểm với tab thành viên.
rId26: Không có thời điểm/định nghĩa KPI; không gán email fads cho lần lỗi MEM-02 vì chưa có mapping danh tính.</t>
        </is>
      </c>
      <c r="E8" s="2" t="inlineStr">
        <is>
          <t>Kiểm thử phần mềm.docx B113, B115, B116</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F36"/>
  <sheetViews>
    <sheetView zoomScale="85"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3" customWidth="1" min="2" max="2"/>
    <col width="20" customWidth="1" min="3" max="3"/>
    <col width="67" customWidth="1" min="4" max="4"/>
    <col width="82" customWidth="1" min="5" max="5"/>
    <col width="40" customWidth="1" min="6" max="6"/>
  </cols>
  <sheetData>
    <row r="1" ht="32" customHeight="1">
      <c r="A1" s="1" t="inlineStr">
        <is>
          <t>Test ID</t>
        </is>
      </c>
      <c r="B1" s="1" t="inlineStr">
        <is>
          <t>Gap Type</t>
        </is>
      </c>
      <c r="C1" s="1" t="inlineStr">
        <is>
          <t>Result</t>
        </is>
      </c>
      <c r="D1" s="1" t="inlineStr">
        <is>
          <t>Existing Evidence</t>
        </is>
      </c>
      <c r="E1" s="1" t="inlineStr">
        <is>
          <t>Required Follow-up</t>
        </is>
      </c>
      <c r="F1" s="1" t="inlineStr">
        <is>
          <t>Metadata Gap</t>
        </is>
      </c>
    </row>
    <row r="2" ht="53" customHeight="1">
      <c r="A2" s="2" t="inlineStr">
        <is>
          <t>AUTH-01</t>
        </is>
      </c>
      <c r="B2" s="2" t="inlineStr">
        <is>
          <t>Evidence Missing</t>
        </is>
      </c>
      <c r="C2" s="2" t="inlineStr">
        <is>
          <t>PASS</t>
        </is>
      </c>
      <c r="D2" s="2" t="inlineStr">
        <is>
          <t>Nguồn văn bản/đánh dấu: Kiểm thử phần mềm.docx B2, B3
Evidence Missing: screenshot/log/file kết quả trực tiếp.</t>
        </is>
      </c>
      <c r="E2" s="2" t="inlineStr">
        <is>
          <t>Đề xuất PASS từ xác nhận bằng văn bản màu xanh, không phải lần thực thi mới; chưa có nhật ký kết quả riêng cho từng bước. Ghi chú vượt OTP cần xác minh yêu cầu 2FA; Expected AUTH-01 không có OTP. Không kết luận bảo mật đạt từ PASS này.</t>
        </is>
      </c>
      <c r="F2" s="2" t="inlineStr">
        <is>
          <t>Test Date / Tested Commit chưa có</t>
        </is>
      </c>
    </row>
    <row r="3" ht="38" customHeight="1">
      <c r="A3" s="3" t="inlineStr">
        <is>
          <t>AUTH-02</t>
        </is>
      </c>
      <c r="B3" s="3" t="inlineStr">
        <is>
          <t>Evidence Missing</t>
        </is>
      </c>
      <c r="C3" s="3" t="inlineStr">
        <is>
          <t>PASS</t>
        </is>
      </c>
      <c r="D3" s="3" t="inlineStr">
        <is>
          <t>Nguồn văn bản/đánh dấu: Kiểm thử phần mềm.docx B4
Evidence Missing: screenshot/log/file kết quả trực tiếp.</t>
        </is>
      </c>
      <c r="E3" s="3" t="inlineStr">
        <is>
          <t>Đề xuất PASS từ xác nhận bằng văn bản màu xanh, không phải lần thực thi mới; chưa có nhật ký kết quả riêng cho từng bước.</t>
        </is>
      </c>
      <c r="F3" s="3" t="inlineStr">
        <is>
          <t>Test Date / Tested Commit chưa có</t>
        </is>
      </c>
    </row>
    <row r="4" ht="68" customHeight="1">
      <c r="A4" s="2" t="inlineStr">
        <is>
          <t>AUTH-03</t>
        </is>
      </c>
      <c r="B4" s="2" t="inlineStr">
        <is>
          <t>Partial Evidence</t>
        </is>
      </c>
      <c r="C4" s="2" t="inlineStr">
        <is>
          <t>NEEDS_REVIEW</t>
        </is>
      </c>
      <c r="D4" s="2" t="inlineStr">
        <is>
          <t>evidence/AUTH-03_rId6_image8.png
Nguồn xác nhận: Kiểm thử phần mềm.docx B5, B6, B7
Giới hạn ảnh: rId6: Không ghi lại thao tác đăng xuất/hủy phiên hoặc mở lại trang bảo vệ.</t>
        </is>
      </c>
      <c r="E4" s="2" t="inlineStr">
        <is>
          <t>Cần xác nhận cả hủy phiên và chuyển /login khi mở lại trang bảo vệ; lỗi màu chữ là ghi chú UX riêng.</t>
        </is>
      </c>
      <c r="F4" s="2" t="inlineStr">
        <is>
          <t>Test Date / Tested Commit chưa có</t>
        </is>
      </c>
    </row>
    <row r="5" ht="38" customHeight="1">
      <c r="A5" s="3" t="inlineStr">
        <is>
          <t>AUTH-04</t>
        </is>
      </c>
      <c r="B5" s="3" t="inlineStr">
        <is>
          <t>Evidence Missing</t>
        </is>
      </c>
      <c r="C5" s="3" t="inlineStr">
        <is>
          <t>PASS</t>
        </is>
      </c>
      <c r="D5" s="3" t="inlineStr">
        <is>
          <t>Nguồn văn bản/đánh dấu: Kiểm thử phần mềm.docx B8
Evidence Missing: screenshot/log/file kết quả trực tiếp.</t>
        </is>
      </c>
      <c r="E5" s="3" t="inlineStr">
        <is>
          <t>Đề xuất PASS từ xác nhận bằng văn bản màu xanh, không phải lần thực thi mới; chưa có nhật ký kết quả riêng cho từng bước.</t>
        </is>
      </c>
      <c r="F5" s="3" t="inlineStr">
        <is>
          <t>Test Date / Tested Commit chưa có</t>
        </is>
      </c>
    </row>
    <row r="6" ht="38" customHeight="1">
      <c r="A6" s="2" t="inlineStr">
        <is>
          <t>AUTH-05</t>
        </is>
      </c>
      <c r="B6" s="2" t="inlineStr">
        <is>
          <t>Evidence Missing</t>
        </is>
      </c>
      <c r="C6" s="2" t="inlineStr">
        <is>
          <t>PASS</t>
        </is>
      </c>
      <c r="D6" s="2" t="inlineStr">
        <is>
          <t>Nguồn văn bản/đánh dấu: Kiểm thử phần mềm.docx B9
Evidence Missing: screenshot/log/file kết quả trực tiếp.</t>
        </is>
      </c>
      <c r="E6" s="2" t="inlineStr">
        <is>
          <t>Đề xuất PASS từ xác nhận bằng văn bản màu xanh, không phải lần thực thi mới; chưa có nhật ký kết quả riêng cho từng bước.</t>
        </is>
      </c>
      <c r="F6" s="2" t="inlineStr">
        <is>
          <t>Test Date / Tested Commit chưa có</t>
        </is>
      </c>
    </row>
    <row r="7" ht="68" customHeight="1">
      <c r="A7" s="3" t="inlineStr">
        <is>
          <t>BOOK-01</t>
        </is>
      </c>
      <c r="B7" s="3" t="inlineStr">
        <is>
          <t>Partial Evidence</t>
        </is>
      </c>
      <c r="C7" s="3" t="inlineStr">
        <is>
          <t>NEEDS_REVIEW</t>
        </is>
      </c>
      <c r="D7" s="3" t="inlineStr">
        <is>
          <t>evidence/BOOK-01_rId7_image23.png
Nguồn xác nhận: Kiểm thử phần mềm.docx B12, B13, B14
Giới hạn ảnh: rId7: Ảnh không có toàn bộ danh sách kết quả, thể loại hay trạng thái không tìm thấy; chưa chốt ô thuộc kịch bản.</t>
        </is>
      </c>
      <c r="E7" s="3" t="inlineStr">
        <is>
          <t>Chưa xác định ô Header thuộc kịch bản BOOK-01 hay chức năng tìm kiếm riêng; cần kết quả tên/tác giả/thể loại/không tìm thấy trước khi chốt.</t>
        </is>
      </c>
      <c r="F7" s="3" t="inlineStr">
        <is>
          <t>Test Date / Tested Commit chưa có</t>
        </is>
      </c>
    </row>
    <row r="8" ht="38" customHeight="1">
      <c r="A8" s="2" t="inlineStr">
        <is>
          <t>BOOK-02</t>
        </is>
      </c>
      <c r="B8" s="2" t="inlineStr">
        <is>
          <t>Evidence Missing</t>
        </is>
      </c>
      <c r="C8" s="2" t="inlineStr">
        <is>
          <t>PASS</t>
        </is>
      </c>
      <c r="D8" s="2" t="inlineStr">
        <is>
          <t>Nguồn văn bản/đánh dấu: Kiểm thử phần mềm.docx B15
Evidence Missing: screenshot/log/file kết quả trực tiếp.</t>
        </is>
      </c>
      <c r="E8" s="2" t="inlineStr">
        <is>
          <t>Đề xuất PASS từ xác nhận bằng văn bản màu xanh, không phải lần thực thi mới; chưa có nhật ký kết quả riêng cho từng bước.</t>
        </is>
      </c>
      <c r="F8" s="2" t="inlineStr">
        <is>
          <t>Test Date / Tested Commit chưa có</t>
        </is>
      </c>
    </row>
    <row r="9" ht="68" customHeight="1">
      <c r="A9" s="3" t="inlineStr">
        <is>
          <t>BOOK-04</t>
        </is>
      </c>
      <c r="B9" s="3" t="inlineStr">
        <is>
          <t>Partial Evidence</t>
        </is>
      </c>
      <c r="C9" s="3" t="inlineStr">
        <is>
          <t>NEEDS_REVIEW</t>
        </is>
      </c>
      <c r="D9" s="3" t="inlineStr">
        <is>
          <t>evidence/BOOK-04_rId8_image14.png
Nguồn xác nhận: Kiểm thử phần mềm.docx B18, B19, B20
Giới hạn ảnh: rId8: Chỉ là form trước lưu, khác dữ liệu 2 bản; không chứng minh đầu sách/barcode/khả dụng sau tạo.</t>
        </is>
      </c>
      <c r="E9" s="3" t="inlineStr">
        <is>
          <t>Thiếu xác nhận 1 đầu sách, 2 bản sao, 2 barcode khác nhau, khả dụng 2; dữ liệu ảnh khác kịch bản gốc.</t>
        </is>
      </c>
      <c r="F9" s="3" t="inlineStr">
        <is>
          <t>Test Date / Tested Commit chưa có</t>
        </is>
      </c>
    </row>
    <row r="10" ht="38" customHeight="1">
      <c r="A10" s="2" t="inlineStr">
        <is>
          <t>BOOK-05</t>
        </is>
      </c>
      <c r="B10" s="2" t="inlineStr">
        <is>
          <t>Evidence Missing</t>
        </is>
      </c>
      <c r="C10" s="2" t="inlineStr">
        <is>
          <t>PASS</t>
        </is>
      </c>
      <c r="D10" s="2" t="inlineStr">
        <is>
          <t>Nguồn văn bản/đánh dấu: Kiểm thử phần mềm.docx B22
Evidence Missing: screenshot/log/file kết quả trực tiếp.</t>
        </is>
      </c>
      <c r="E10" s="2" t="inlineStr">
        <is>
          <t>Đề xuất PASS từ xác nhận bằng văn bản màu xanh, không phải lần thực thi mới; chưa có nhật ký kết quả riêng cho từng bước.</t>
        </is>
      </c>
      <c r="F10" s="2" t="inlineStr">
        <is>
          <t>Test Date / Tested Commit chưa có</t>
        </is>
      </c>
    </row>
    <row r="11" ht="53" customHeight="1">
      <c r="A11" s="3" t="inlineStr">
        <is>
          <t>BOOK-06</t>
        </is>
      </c>
      <c r="B11" s="3" t="inlineStr">
        <is>
          <t>Evidence Missing</t>
        </is>
      </c>
      <c r="C11" s="3" t="inlineStr">
        <is>
          <t>PASS</t>
        </is>
      </c>
      <c r="D11" s="3" t="inlineStr">
        <is>
          <t>Nguồn văn bản/đánh dấu: Kiểm thử phần mềm.docx B23
Evidence Missing: screenshot/log/file kết quả trực tiếp.</t>
        </is>
      </c>
      <c r="E11" s="3" t="inlineStr">
        <is>
          <t>Đề xuất PASS từ xác nhận bằng văn bản màu xanh, không phải lần thực thi mới; chưa có nhật ký kết quả riêng cho từng bước. Giữ hai quy tắc ISBN độc lập; ghi chú liên quan Manual B28. Không lấy kết quả source thay cho ghi nhận xanh.</t>
        </is>
      </c>
      <c r="F11" s="3" t="inlineStr">
        <is>
          <t>Test Date / Tested Commit chưa có</t>
        </is>
      </c>
    </row>
    <row r="12" ht="38" customHeight="1">
      <c r="A12" s="2" t="inlineStr">
        <is>
          <t>BOOK-07</t>
        </is>
      </c>
      <c r="B12" s="2" t="inlineStr">
        <is>
          <t>Evidence Missing</t>
        </is>
      </c>
      <c r="C12" s="2" t="inlineStr">
        <is>
          <t>PASS</t>
        </is>
      </c>
      <c r="D12" s="2" t="inlineStr">
        <is>
          <t>Nguồn văn bản/đánh dấu: Kiểm thử phần mềm.docx B24
Evidence Missing: screenshot/log/file kết quả trực tiếp.</t>
        </is>
      </c>
      <c r="E12" s="2" t="inlineStr">
        <is>
          <t>Đề xuất PASS từ xác nhận bằng văn bản màu xanh, không phải lần thực thi mới; chưa có nhật ký kết quả riêng cho từng bước.</t>
        </is>
      </c>
      <c r="F12" s="2" t="inlineStr">
        <is>
          <t>Test Date / Tested Commit chưa có</t>
        </is>
      </c>
    </row>
    <row r="13" ht="38" customHeight="1">
      <c r="A13" s="3" t="inlineStr">
        <is>
          <t>BOOK-08</t>
        </is>
      </c>
      <c r="B13" s="3" t="inlineStr">
        <is>
          <t>Evidence Missing</t>
        </is>
      </c>
      <c r="C13" s="3" t="inlineStr">
        <is>
          <t>PASS</t>
        </is>
      </c>
      <c r="D13" s="3" t="inlineStr">
        <is>
          <t>Nguồn văn bản/đánh dấu: Kiểm thử phần mềm.docx B25
Evidence Missing: screenshot/log/file kết quả trực tiếp.</t>
        </is>
      </c>
      <c r="E13" s="3" t="inlineStr">
        <is>
          <t>Đề xuất PASS từ xác nhận bằng văn bản màu xanh, không phải lần thực thi mới; chưa có nhật ký kết quả riêng cho từng bước.</t>
        </is>
      </c>
      <c r="F13" s="3" t="inlineStr">
        <is>
          <t>Test Date / Tested Commit chưa có</t>
        </is>
      </c>
    </row>
    <row r="14" ht="38" customHeight="1">
      <c r="A14" s="2" t="inlineStr">
        <is>
          <t>BOOK-09</t>
        </is>
      </c>
      <c r="B14" s="2" t="inlineStr">
        <is>
          <t>Evidence Missing</t>
        </is>
      </c>
      <c r="C14" s="2" t="inlineStr">
        <is>
          <t>PASS</t>
        </is>
      </c>
      <c r="D14" s="2" t="inlineStr">
        <is>
          <t>Nguồn văn bản/đánh dấu: Kiểm thử phần mềm.docx B26
Evidence Missing: screenshot/log/file kết quả trực tiếp.</t>
        </is>
      </c>
      <c r="E14" s="2" t="inlineStr">
        <is>
          <t>Đề xuất PASS từ xác nhận bằng văn bản màu xanh, không phải lần thực thi mới; chưa có nhật ký kết quả riêng cho từng bước.</t>
        </is>
      </c>
      <c r="F14" s="2" t="inlineStr">
        <is>
          <t>Test Date / Tested Commit chưa có</t>
        </is>
      </c>
    </row>
    <row r="15" ht="38" customHeight="1">
      <c r="A15" s="3" t="inlineStr">
        <is>
          <t>BOOK-10</t>
        </is>
      </c>
      <c r="B15" s="3" t="inlineStr">
        <is>
          <t>Evidence Missing</t>
        </is>
      </c>
      <c r="C15" s="3" t="inlineStr">
        <is>
          <t>PASS</t>
        </is>
      </c>
      <c r="D15" s="3" t="inlineStr">
        <is>
          <t>Nguồn văn bản/đánh dấu: Kiểm thử phần mềm.docx B27, B28
Evidence Missing: screenshot/log/file kết quả trực tiếp.</t>
        </is>
      </c>
      <c r="E15" s="3" t="inlineStr">
        <is>
          <t>Đề xuất PASS từ xác nhận bằng văn bản màu xanh, không phải lần thực thi mới; chưa có nhật ký kết quả riêng cho từng bước.</t>
        </is>
      </c>
      <c r="F15" s="3" t="inlineStr">
        <is>
          <t>Test Date / Tested Commit chưa có</t>
        </is>
      </c>
    </row>
    <row r="16" ht="38" customHeight="1">
      <c r="A16" s="2" t="inlineStr">
        <is>
          <t>EXCEL-01</t>
        </is>
      </c>
      <c r="B16" s="2" t="inlineStr">
        <is>
          <t>Evidence Missing</t>
        </is>
      </c>
      <c r="C16" s="2" t="inlineStr">
        <is>
          <t>PASS</t>
        </is>
      </c>
      <c r="D16" s="2" t="inlineStr">
        <is>
          <t>Nguồn văn bản/đánh dấu: Kiểm thử phần mềm.docx B30
Evidence Missing: screenshot/log/file kết quả trực tiếp.</t>
        </is>
      </c>
      <c r="E16" s="2" t="inlineStr">
        <is>
          <t>Đề xuất PASS từ xác nhận bằng văn bản màu xanh, không phải lần thực thi mới; chưa có nhật ký kết quả riêng cho từng bước.</t>
        </is>
      </c>
      <c r="F16" s="2" t="inlineStr">
        <is>
          <t>Test Date / Tested Commit chưa có</t>
        </is>
      </c>
    </row>
    <row r="17" ht="38" customHeight="1">
      <c r="A17" s="3" t="inlineStr">
        <is>
          <t>EXCEL-02</t>
        </is>
      </c>
      <c r="B17" s="3" t="inlineStr">
        <is>
          <t>Evidence Missing</t>
        </is>
      </c>
      <c r="C17" s="3" t="inlineStr">
        <is>
          <t>PASS</t>
        </is>
      </c>
      <c r="D17" s="3" t="inlineStr">
        <is>
          <t>Nguồn văn bản/đánh dấu: Kiểm thử phần mềm.docx B31
Evidence Missing: screenshot/log/file kết quả trực tiếp.</t>
        </is>
      </c>
      <c r="E17" s="3" t="inlineStr">
        <is>
          <t>Đề xuất PASS từ xác nhận bằng văn bản màu xanh, không phải lần thực thi mới; chưa có nhật ký kết quả riêng cho từng bước.</t>
        </is>
      </c>
      <c r="F17" s="3" t="inlineStr">
        <is>
          <t>Test Date / Tested Commit chưa có</t>
        </is>
      </c>
    </row>
    <row r="18" ht="53" customHeight="1">
      <c r="A18" s="2" t="inlineStr">
        <is>
          <t>EXCEL-03</t>
        </is>
      </c>
      <c r="B18" s="2" t="inlineStr">
        <is>
          <t>Evidence Missing</t>
        </is>
      </c>
      <c r="C18" s="2" t="inlineStr">
        <is>
          <t>PASS</t>
        </is>
      </c>
      <c r="D18" s="2" t="inlineStr">
        <is>
          <t>Nguồn văn bản/đánh dấu: Kiểm thử phần mềm.docx B32
Evidence Missing: screenshot/log/file kết quả trực tiếp.</t>
        </is>
      </c>
      <c r="E18" s="2" t="inlineStr">
        <is>
          <t>Đề xuất PASS từ xác nhận bằng văn bản màu xanh, không phải lần thực thi mới; chưa có nhật ký kết quả riêng cho từng bước. Giữ hai quy tắc ISBN độc lập; ghi chú liên quan Manual B28. Không lấy kết quả source thay cho ghi nhận xanh.</t>
        </is>
      </c>
      <c r="F18" s="2" t="inlineStr">
        <is>
          <t>Test Date / Tested Commit chưa có</t>
        </is>
      </c>
    </row>
    <row r="19" ht="38" customHeight="1">
      <c r="A19" s="3" t="inlineStr">
        <is>
          <t>EXCEL-04</t>
        </is>
      </c>
      <c r="B19" s="3" t="inlineStr">
        <is>
          <t>Evidence Missing</t>
        </is>
      </c>
      <c r="C19" s="3" t="inlineStr">
        <is>
          <t>PASS</t>
        </is>
      </c>
      <c r="D19" s="3" t="inlineStr">
        <is>
          <t>Nguồn văn bản/đánh dấu: Kiểm thử phần mềm.docx B33
Evidence Missing: screenshot/log/file kết quả trực tiếp.</t>
        </is>
      </c>
      <c r="E19" s="3" t="inlineStr">
        <is>
          <t>Đề xuất PASS từ xác nhận bằng văn bản màu xanh, không phải lần thực thi mới; chưa có nhật ký kết quả riêng cho từng bước.</t>
        </is>
      </c>
      <c r="F19" s="3" t="inlineStr">
        <is>
          <t>Test Date / Tested Commit chưa có</t>
        </is>
      </c>
    </row>
    <row r="20" ht="68" customHeight="1">
      <c r="A20" s="2" t="inlineStr">
        <is>
          <t>RES-01</t>
        </is>
      </c>
      <c r="B20" s="2" t="inlineStr">
        <is>
          <t>Partial Evidence</t>
        </is>
      </c>
      <c r="C20" s="2" t="inlineStr">
        <is>
          <t>PASS</t>
        </is>
      </c>
      <c r="D20" s="2" t="inlineStr">
        <is>
          <t>evidence/RES-01_rId9_image10.png
Nguồn xác nhận: Kiểm thử phần mềm.docx B35, B36
Giới hạn ảnh: rId9: Không hiển thị enum API WAITING hay ảnh sách 0 bản tại thời điểm thao tác; xác nhận xanh là nguồn bổ sung.</t>
        </is>
      </c>
      <c r="E20" s="2" t="inlineStr">
        <is>
          <t>Đề xuất PASS từ xác nhận bằng văn bản màu xanh, không phải lần thực thi mới; chưa có nhật ký kết quả riêng cho từng bước.</t>
        </is>
      </c>
      <c r="F20" s="2" t="inlineStr">
        <is>
          <t>Test Date / Tested Commit chưa có</t>
        </is>
      </c>
    </row>
    <row r="21" ht="38" customHeight="1">
      <c r="A21" s="3" t="inlineStr">
        <is>
          <t>RES-02</t>
        </is>
      </c>
      <c r="B21" s="3" t="inlineStr">
        <is>
          <t>Evidence Missing</t>
        </is>
      </c>
      <c r="C21" s="3" t="inlineStr">
        <is>
          <t>NEEDS_REVIEW</t>
        </is>
      </c>
      <c r="D21" s="3" t="inlineStr">
        <is>
          <t>Nguồn văn bản/đánh dấu: Kiểm thử phần mềm.docx B37, B38
Evidence Missing: screenshot/log/file kết quả trực tiếp.</t>
        </is>
      </c>
      <c r="E21" s="3" t="inlineStr">
        <is>
          <t>Không có nút đặt trước có thể là cơ chế từ chối hợp lệ; chưa xác nhận hành vi từ chối tạo yêu cầu. Không đủ căn cứ PASS/FAIL/BLOCKED.</t>
        </is>
      </c>
      <c r="F21" s="3" t="inlineStr">
        <is>
          <t>Test Date / Tested Commit chưa có</t>
        </is>
      </c>
    </row>
    <row r="22" ht="68" customHeight="1">
      <c r="A22" s="2" t="inlineStr">
        <is>
          <t>RES-03</t>
        </is>
      </c>
      <c r="B22" s="2" t="inlineStr">
        <is>
          <t>Partial Evidence</t>
        </is>
      </c>
      <c r="C22" s="2" t="inlineStr">
        <is>
          <t>PASS</t>
        </is>
      </c>
      <c r="D22" s="2" t="inlineStr">
        <is>
          <t>evidence/RES-03_rId10_image22.png
Nguồn xác nhận: Kiểm thử phần mềm.docx B39, B40
Giới hạn ảnh: rId10: Không có ảnh trước/sau hoặc số yêu cầu; màu cam trên run chỉ chứa ảnh không đổi trạng thái RES-03 xanh.</t>
        </is>
      </c>
      <c r="E22" s="2" t="inlineStr">
        <is>
          <t>Đề xuất PASS từ xác nhận bằng văn bản màu xanh, không phải lần thực thi mới; chưa có nhật ký kết quả riêng cho từng bước.</t>
        </is>
      </c>
      <c r="F22" s="2" t="inlineStr">
        <is>
          <t>Test Date / Tested Commit chưa có</t>
        </is>
      </c>
    </row>
    <row r="23" ht="68" customHeight="1">
      <c r="A23" s="3" t="inlineStr">
        <is>
          <t>RES-04</t>
        </is>
      </c>
      <c r="B23" s="3" t="inlineStr">
        <is>
          <t>Partial Evidence</t>
        </is>
      </c>
      <c r="C23" s="3" t="inlineStr">
        <is>
          <t>NEEDS_REVIEW</t>
        </is>
      </c>
      <c r="D23" s="3" t="inlineStr">
        <is>
          <t>evidence/RES-04_rId11_image3.png
Nguồn xác nhận: Kiểm thử phần mềm.docx B41, B42, B43
Giới hạn ảnh: rId11: Không có màn hình Admin chuyển trạng thái/thông báo NOTIFIED; không kết luận nghiệp vụ Loan.</t>
        </is>
      </c>
      <c r="E23" s="3" t="inlineStr">
        <is>
          <t>Thiếu ghi nhận tìm/lọc, đủ chuỗi WAITING → NOTIFIED → FULFILLED và thông báo khi NOTIFIED. Lịch sử mượn trả cần phối hợp thành viên phụ trách; không kết luận thay họ.</t>
        </is>
      </c>
      <c r="F23" s="3" t="inlineStr">
        <is>
          <t>Test Date / Tested Commit chưa có</t>
        </is>
      </c>
    </row>
    <row r="24" ht="83" customHeight="1">
      <c r="A24" s="2" t="inlineStr">
        <is>
          <t>RES-05</t>
        </is>
      </c>
      <c r="B24" s="2" t="inlineStr">
        <is>
          <t>Partial Evidence</t>
        </is>
      </c>
      <c r="C24" s="2" t="inlineStr">
        <is>
          <t>PASS</t>
        </is>
      </c>
      <c r="D24" s="2" t="inlineStr">
        <is>
          <t>evidence/RES-05_rId12_image9.png
Nguồn xác nhận: Kiểm thử phần mềm.docx B44, B45
Giới hạn ảnh: rId12: Không hiển thị hủy đặt trước/CANCELLED; chỉ liên kết ảnh theo vị trí trong manual, PASS RES-05 dựa trên đánh dấu xanh.</t>
        </is>
      </c>
      <c r="E24" s="2" t="inlineStr">
        <is>
          <t>Đề xuất PASS từ xác nhận bằng văn bản màu xanh, không phải lần thực thi mới; chưa có nhật ký kết quả riêng cho từng bước.</t>
        </is>
      </c>
      <c r="F24" s="2" t="inlineStr">
        <is>
          <t>Test Date / Tested Commit chưa có</t>
        </is>
      </c>
    </row>
    <row r="25" ht="68" customHeight="1">
      <c r="A25" s="3" t="inlineStr">
        <is>
          <t>MEM-01</t>
        </is>
      </c>
      <c r="B25" s="3" t="inlineStr">
        <is>
          <t>Partial Evidence</t>
        </is>
      </c>
      <c r="C25" s="3" t="inlineStr">
        <is>
          <t>PASS</t>
        </is>
      </c>
      <c r="D25" s="3" t="inlineStr">
        <is>
          <t>evidence/MEM-01_rId13_image2.png
Nguồn xác nhận: Kiểm thử phần mềm.docx B58, B59
Giới hạn ảnh: rId13: Chưa ghi từng lần lọc và dữ liệu đối chứng; màu đỏ ở run chỉ chứa ảnh không phủ định MEM-01 xanh.</t>
        </is>
      </c>
      <c r="E25" s="3" t="inlineStr">
        <is>
          <t>Đề xuất PASS từ xác nhận bằng văn bản màu xanh, không phải lần thực thi mới; chưa có nhật ký kết quả riêng cho từng bước.</t>
        </is>
      </c>
      <c r="F25" s="3" t="inlineStr">
        <is>
          <t>Test Date / Tested Commit chưa có</t>
        </is>
      </c>
    </row>
    <row r="26" ht="98" customHeight="1">
      <c r="A26" s="2" t="inlineStr">
        <is>
          <t>MEM-02</t>
        </is>
      </c>
      <c r="B26" s="2" t="inlineStr">
        <is>
          <t>Partial Evidence</t>
        </is>
      </c>
      <c r="C26" s="2" t="inlineStr">
        <is>
          <t>FAIL</t>
        </is>
      </c>
      <c r="D26" s="2" t="inlineStr">
        <is>
          <t>evidence/MEM-02_rId14_image24.png
Nguồn xác nhận: Kiểm thử phần mềm.docx B62, B63, B64
Evidence Missing: ảnh/log chấp nhận email sai và lần đăng nhập thất bại.
Giới hạn ảnh: rId14: Không chứng minh email sai đã lưu hay đăng nhập thất bại; lỗi DEF-001 được xác nhận bằng ghi chú Tester.</t>
        </is>
      </c>
      <c r="E26" s="2" t="inlineStr">
        <is>
          <t>Không đạt kỳ vọng tài khoản mới có thể đăng nhập. Sai email được ghi bằng văn bản của Tester; không suy diễn rằng email hợp lệ cũng thất bại. Thiếu dấu * là ghi chú UX riêng.</t>
        </is>
      </c>
      <c r="F26" s="2" t="inlineStr">
        <is>
          <t>Test Date / Tested Commit chưa có</t>
        </is>
      </c>
    </row>
    <row r="27" ht="68" customHeight="1">
      <c r="A27" s="3" t="inlineStr">
        <is>
          <t>MEM-03</t>
        </is>
      </c>
      <c r="B27" s="3" t="inlineStr">
        <is>
          <t>Partial Evidence</t>
        </is>
      </c>
      <c r="C27" s="3" t="inlineStr">
        <is>
          <t>PASS</t>
        </is>
      </c>
      <c r="D27" s="3" t="inlineStr">
        <is>
          <t>evidence/MEM-03_rId15_image18.png
Nguồn xác nhận: Kiểm thử phần mềm.docx B70, B71
Giới hạn ảnh: rId15: Không có đối soát danh sách trước/sau; xanh là xác nhận bổ sung không tạo email trùng.</t>
        </is>
      </c>
      <c r="E27" s="3" t="inlineStr">
        <is>
          <t>Đề xuất PASS từ xác nhận bằng văn bản màu xanh, không phải lần thực thi mới; chưa có nhật ký kết quả riêng cho từng bước.</t>
        </is>
      </c>
      <c r="F27" s="3" t="inlineStr">
        <is>
          <t>Test Date / Tested Commit chưa có</t>
        </is>
      </c>
    </row>
    <row r="28" ht="68" customHeight="1">
      <c r="A28" s="2" t="inlineStr">
        <is>
          <t>MEM-04</t>
        </is>
      </c>
      <c r="B28" s="2" t="inlineStr">
        <is>
          <t>Partial Evidence</t>
        </is>
      </c>
      <c r="C28" s="2" t="inlineStr">
        <is>
          <t>NEEDS_REVIEW</t>
        </is>
      </c>
      <c r="D28" s="2" t="inlineStr">
        <is>
          <t>evidence/MEM-04_rId16_image20.png
Nguồn xác nhận: Kiểm thử phần mềm.docx B73, B74, B75
Giới hạn ảnh: rId16: Chưa có ảnh Admin gỡ blacklist/bộ lọc sau gỡ; không tạo kết quả kiểm thử luồng mượn riêng.</t>
        </is>
      </c>
      <c r="E28" s="2" t="inlineStr">
        <is>
          <t>Chưa xác nhận thao tác Admin đưa vào/gỡ blacklist và bộ lọc sau gỡ. Không dùng ảnh chặn mượn để kết luận đầy đủ kịch bản; liên hệ Admin là đề nghị UX.</t>
        </is>
      </c>
      <c r="F28" s="2" t="inlineStr">
        <is>
          <t>Test Date / Tested Commit chưa có</t>
        </is>
      </c>
    </row>
    <row r="29" ht="113" customHeight="1">
      <c r="A29" s="3" t="inlineStr">
        <is>
          <t>MEM-05</t>
        </is>
      </c>
      <c r="B29" s="3" t="inlineStr">
        <is>
          <t>Partial Evidence</t>
        </is>
      </c>
      <c r="C29" s="3" t="inlineStr">
        <is>
          <t>FAIL</t>
        </is>
      </c>
      <c r="D29" s="3" t="inlineStr">
        <is>
          <t>evidence/MEM-05_rId17_image12.png
evidence/MEM-05_rId18_image16.png
Nguồn xác nhận: Kiểm thử phần mềm.docx B85, B87, B89
Giới hạn ảnh: rId17: Không phải nhánh ADMIN/PREMIUM nêu trong kịch bản; cần xem kèm rId18.
rId18: Xác nhận sai hạng khi xem cùng rId17/ghi chú; chưa có kết quả nhánh ADMIN.</t>
        </is>
      </c>
      <c r="E29" s="3" t="inlineStr">
        <is>
          <t>Sai lệch hạng đã được xác nhận so với kỳ vọng lưu đúng lựa chọn. Chỉ xác nhận nhánh hạng; ảnh dùng LECTURER, cần retest đúng PREMIUM và ADMIN trong kịch bản. Không khẳng định ADMIN cũng bị lưu USER.</t>
        </is>
      </c>
      <c r="F29" s="3" t="inlineStr">
        <is>
          <t>Test Date / Tested Commit chưa có</t>
        </is>
      </c>
    </row>
    <row r="30" ht="68" customHeight="1">
      <c r="A30" s="2" t="inlineStr">
        <is>
          <t>INV-01</t>
        </is>
      </c>
      <c r="B30" s="2" t="inlineStr">
        <is>
          <t>Partial Evidence</t>
        </is>
      </c>
      <c r="C30" s="2" t="inlineStr">
        <is>
          <t>PASS</t>
        </is>
      </c>
      <c r="D30" s="2" t="inlineStr">
        <is>
          <t>evidence/INV-01_rId19_image15.png
Nguồn xác nhận: Kiểm thử phần mềm.docx B92, B93
Giới hạn ảnh: rId19: Không thể đối chiếu toàn bộ166 bản bằng một ảnh; không thấy thao tác tìm barcode riêng.</t>
        </is>
      </c>
      <c r="E30" s="2" t="inlineStr">
        <is>
          <t>Đề xuất PASS từ xác nhận bằng văn bản màu xanh, không phải lần thực thi mới; chưa có nhật ký kết quả riêng cho từng bước.</t>
        </is>
      </c>
      <c r="F30" s="2" t="inlineStr">
        <is>
          <t>Test Date / Tested Commit chưa có</t>
        </is>
      </c>
    </row>
    <row r="31" ht="68" customHeight="1">
      <c r="A31" s="3" t="inlineStr">
        <is>
          <t>INV-02</t>
        </is>
      </c>
      <c r="B31" s="3" t="inlineStr">
        <is>
          <t>Partial Evidence</t>
        </is>
      </c>
      <c r="C31" s="3" t="inlineStr">
        <is>
          <t>PASS</t>
        </is>
      </c>
      <c r="D31" s="3" t="inlineStr">
        <is>
          <t>evidence/INV-02_rId20_image11.png
Nguồn xác nhận: Kiểm thử phần mềm.docx B97, B98
Giới hạn ảnh: rId20: Chưa thấy barcode đó trong nhóm Sách hợp lệ sau đối chiếu; PASS dựa thêm đánh dấu xanh.</t>
        </is>
      </c>
      <c r="E31" s="3" t="inlineStr">
        <is>
          <t>Đề xuất PASS từ xác nhận bằng văn bản màu xanh, không phải lần thực thi mới; chưa có nhật ký kết quả riêng cho từng bước.</t>
        </is>
      </c>
      <c r="F31" s="3" t="inlineStr">
        <is>
          <t>Test Date / Tested Commit chưa có</t>
        </is>
      </c>
    </row>
    <row r="32" ht="68" customHeight="1">
      <c r="A32" s="2" t="inlineStr">
        <is>
          <t>INV-03</t>
        </is>
      </c>
      <c r="B32" s="2" t="inlineStr">
        <is>
          <t>Partial Evidence</t>
        </is>
      </c>
      <c r="C32" s="2" t="inlineStr">
        <is>
          <t>PASS</t>
        </is>
      </c>
      <c r="D32" s="2" t="inlineStr">
        <is>
          <t>evidence/INV-03_rId21_image21.png
Nguồn xác nhận: Kiểm thử phần mềm.docx B100, B101
Giới hạn ảnh: rId21: Không có ảnh lần quét đầu; hỗ trợ ghi nhận xanh không tính trùng.</t>
        </is>
      </c>
      <c r="E32" s="2" t="inlineStr">
        <is>
          <t>Đề xuất PASS từ xác nhận bằng văn bản màu xanh, không phải lần thực thi mới; chưa có nhật ký kết quả riêng cho từng bước.</t>
        </is>
      </c>
      <c r="F32" s="2" t="inlineStr">
        <is>
          <t>Test Date / Tested Commit chưa có</t>
        </is>
      </c>
    </row>
    <row r="33" ht="113" customHeight="1">
      <c r="A33" s="3" t="inlineStr">
        <is>
          <t>DASH-01</t>
        </is>
      </c>
      <c r="B33" s="3" t="inlineStr">
        <is>
          <t>Partial Evidence</t>
        </is>
      </c>
      <c r="C33" s="3" t="inlineStr">
        <is>
          <t>NEEDS_REVIEW</t>
        </is>
      </c>
      <c r="D33" s="3" t="inlineStr">
        <is>
          <t>evidence/DASH-01_rId25_image7.png
evidence/DASH-01_rId26_image5.png
Nguồn xác nhận: Kiểm thử phần mềm.docx B113, B115, B116
Giới hạn ảnh: rId25: Ảnh cắt phần dưới, chưa có đủ hoạt động gần đây; không có snapshot cùng thời điểm với tab thành viên.
rId26: Không có thời điểm/định nghĩa KPI; không gán email fads cho lần lỗi MEM-02 vì chưa có mapping danh tính.</t>
        </is>
      </c>
      <c r="E33" s="3" t="inlineStr">
        <is>
          <t>Chưa có xác nhận đầy đủ sách nổi bật/hoạt động gần đây/không lỗi tải. Cần thống nhất định nghĩa KPI và ảnh cùng thời điểm; không suy ra mọi chỉ số đều sai.</t>
        </is>
      </c>
      <c r="F33" s="3" t="inlineStr">
        <is>
          <t>Test Date / Tested Commit chưa có</t>
        </is>
      </c>
    </row>
    <row r="34" ht="68" customHeight="1">
      <c r="A34" s="2" t="inlineStr">
        <is>
          <t>DASH-02</t>
        </is>
      </c>
      <c r="B34" s="2" t="inlineStr">
        <is>
          <t>Evidence Missing</t>
        </is>
      </c>
      <c r="C34" s="2" t="inlineStr">
        <is>
          <t>FAIL</t>
        </is>
      </c>
      <c r="D34" s="2" t="inlineStr">
        <is>
          <t>Nguồn văn bản/đánh dấu: Kiểm thử phần mềm.docx B118, B119
Evidence Missing: screenshot/log/file kết quả trực tiếp.
Ảnh tham chiếu triệu chứng INV-05 (không phải PDF Dashboard): evidence/INV-05_rId24_image4.png</t>
        </is>
      </c>
      <c r="E34" s="2" t="inlineStr">
        <is>
          <t>FAIL vì Expected yêu cầu tiếng Việt không lỗi font. Chấp nhận ghi nhận trực tiếp của Tester; thiếu ảnh/file PDF Dashboard riêng. Source hiện tại không chứng minh bug đã được sửa.</t>
        </is>
      </c>
      <c r="F34" s="2" t="inlineStr">
        <is>
          <t>Test Date / Tested Commit chưa có</t>
        </is>
      </c>
    </row>
    <row r="35" ht="68" customHeight="1">
      <c r="A35" s="3" t="inlineStr">
        <is>
          <t>NOTI-02</t>
        </is>
      </c>
      <c r="B35" s="3" t="inlineStr">
        <is>
          <t>Partial Evidence</t>
        </is>
      </c>
      <c r="C35" s="3" t="inlineStr">
        <is>
          <t>PASS</t>
        </is>
      </c>
      <c r="D35" s="3" t="inlineStr">
        <is>
          <t>evidence/NOTI-02_rId27_image17.png
Nguồn xác nhận: Kiểm thử phần mềm.docx B121, B122
Giới hạn ảnh: rId27: Không có ảnh từng thao tác đọc một/xóa một/xóa tất cả; PASS dựa trên xác nhận xanh toàn kịch bản.</t>
        </is>
      </c>
      <c r="E35" s="3" t="inlineStr">
        <is>
          <t>Đề xuất PASS từ xác nhận bằng văn bản màu xanh, không phải lần thực thi mới; chưa có nhật ký kết quả riêng cho từng bước.</t>
        </is>
      </c>
      <c r="F35" s="3" t="inlineStr">
        <is>
          <t>Test Date / Tested Commit chưa có</t>
        </is>
      </c>
    </row>
    <row r="36" ht="113" customHeight="1">
      <c r="A36" s="2" t="inlineStr">
        <is>
          <t>SET-01</t>
        </is>
      </c>
      <c r="B36" s="2" t="inlineStr">
        <is>
          <t>Partial Evidence</t>
        </is>
      </c>
      <c r="C36" s="2" t="inlineStr">
        <is>
          <t>PASS</t>
        </is>
      </c>
      <c r="D36" s="2" t="inlineStr">
        <is>
          <t>evidence/SET-01_rId28_image1.png
evidence/SET-01_rId29_image6.png
Nguồn xác nhận: Kiểm thử phần mềm.docx B123, B125
Giới hạn ảnh: rId28: Không chứng minh đã tải lại trang/lựa chọn được giữ; không dùng để kết luận SET-02 chưa chạy.
rId29: Không chứng minh đã tải lại trang/lựa chọn được giữ; không thấy toàn bộ trang để kết luận quyền quản trị.</t>
        </is>
      </c>
      <c r="E36" s="2" t="inlineStr">
        <is>
          <t>Đề xuất PASS từ xác nhận bằng văn bản màu xanh, không phải lần thực thi mới; chưa có nhật ký kết quả riêng cho từng bước.</t>
        </is>
      </c>
      <c r="F36" s="2" t="inlineStr">
        <is>
          <t>Test Date / Tested Commit chưa có</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H168"/>
  <sheetViews>
    <sheetView zoomScale="85"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35" customWidth="1" min="2" max="2"/>
    <col width="95" customWidth="1" min="3" max="3"/>
    <col width="23" customWidth="1" min="4" max="4"/>
    <col width="14" customWidth="1" min="5" max="5"/>
    <col width="62" customWidth="1" min="6" max="6"/>
    <col width="50" customWidth="1" min="7" max="7"/>
    <col width="48" customWidth="1" min="8" max="8"/>
  </cols>
  <sheetData>
    <row r="1" ht="32" customHeight="1">
      <c r="A1" s="1" t="inlineStr">
        <is>
          <t>Mapped Test ID</t>
        </is>
      </c>
      <c r="B1" s="1" t="inlineStr">
        <is>
          <t>Source Position</t>
        </is>
      </c>
      <c r="C1" s="1" t="inlineStr">
        <is>
          <t>Text (verbatim)</t>
        </is>
      </c>
      <c r="D1" s="1" t="inlineStr">
        <is>
          <t>Effective Color</t>
        </is>
      </c>
      <c r="E1" s="1" t="inlineStr">
        <is>
          <t>Italic</t>
        </is>
      </c>
      <c r="F1" s="1" t="inlineStr">
        <is>
          <t>Run Properties</t>
        </is>
      </c>
      <c r="G1" s="1" t="inlineStr">
        <is>
          <t>Paragraph Mark Properties</t>
        </is>
      </c>
      <c r="H1" s="1" t="inlineStr">
        <is>
          <t>Cell Properties</t>
        </is>
      </c>
    </row>
    <row r="2" ht="53" customHeight="1">
      <c r="A2" s="2" t="inlineStr"/>
      <c r="B2" s="2" t="inlineStr">
        <is>
          <t>B1/P1/run1</t>
        </is>
      </c>
      <c r="C2" s="2" t="inlineStr">
        <is>
          <t>1. Tài khoản và phân quyền</t>
        </is>
      </c>
      <c r="D2" s="2" t="inlineStr">
        <is>
          <t>AUTO</t>
        </is>
      </c>
      <c r="E2" s="2" t="b">
        <v>0</v>
      </c>
      <c r="F2" s="2" t="inlineStr">
        <is>
          <t>{"rFonts": {"ascii": "Times New Roman", "cs": "Times New Roman", "eastAsia": "Times New Roman", "hAnsi": "Times New Roman"}, "rtl": {"val": "0"}}</t>
        </is>
      </c>
      <c r="G2" s="2" t="inlineStr">
        <is>
          <t>{"rFonts": {"ascii": "Times New Roman", "cs": "Times New Roman", "eastAsia": "Times New Roman", "hAnsi": "Times New Roman"}}</t>
        </is>
      </c>
      <c r="H2" s="2" t="inlineStr">
        <is>
          <t>{}</t>
        </is>
      </c>
    </row>
    <row r="3" ht="68" customHeight="1">
      <c r="A3" s="3" t="inlineStr">
        <is>
          <t>AUTH-01</t>
        </is>
      </c>
      <c r="B3" s="3" t="inlineStr">
        <is>
          <t>B2/P2/run1</t>
        </is>
      </c>
      <c r="C3" s="3" t="inlineStr">
        <is>
          <t>- [ ] AUTH-01 — Đăng nhập đúng/sai: đăng nhập Admin, User, rồi thử mật khẩu sai. Kỳ vọng: đúng thì vào trang theo vai trò; sai thì có thông báo và không vào được.</t>
        </is>
      </c>
      <c r="D3" s="14" t="inlineStr">
        <is>
          <t>00FF00</t>
        </is>
      </c>
      <c r="E3" s="3" t="b">
        <v>0</v>
      </c>
      <c r="F3" s="3" t="inlineStr">
        <is>
          <t>{"rFonts": {"ascii": "Times New Roman", "cs": "Times New Roman", "eastAsia": "Times New Roman", "hAnsi": "Times New Roman"}, "color": {"val": "00ff00"}, "rtl": {"val": "0"}}</t>
        </is>
      </c>
      <c r="G3" s="3" t="inlineStr">
        <is>
          <t>{"rFonts": {"ascii": "Times New Roman", "cs": "Times New Roman", "eastAsia": "Times New Roman", "hAnsi": "Times New Roman"}, "color": {"val": "00ff00"}}</t>
        </is>
      </c>
      <c r="H3" s="3" t="inlineStr">
        <is>
          <t>{}</t>
        </is>
      </c>
    </row>
    <row r="4" ht="68" customHeight="1">
      <c r="A4" s="2" t="inlineStr">
        <is>
          <t>AUTH-01</t>
        </is>
      </c>
      <c r="B4" s="2" t="inlineStr">
        <is>
          <t>B3/P3/run1</t>
        </is>
      </c>
      <c r="C4" s="2" t="inlineStr">
        <is>
          <t xml:space="preserve"> </t>
        </is>
      </c>
      <c r="D4" s="2" t="inlineStr">
        <is>
          <t>AUTO</t>
        </is>
      </c>
      <c r="E4" s="2" t="b">
        <v>0</v>
      </c>
      <c r="F4" s="2" t="inlineStr">
        <is>
          <t>{"rFonts": {"ascii": "Times New Roman", "cs": "Times New Roman", "eastAsia": "Times New Roman", "hAnsi": "Times New Roman"}, "rtl": {"val": "0"}}</t>
        </is>
      </c>
      <c r="G4" s="2" t="inlineStr">
        <is>
          <t>{"rFonts": {"ascii": "Times New Roman", "cs": "Times New Roman", "eastAsia": "Times New Roman", "hAnsi": "Times New Roman"}, "i": {"val": "1"}, "iCs": {"val": "1"}}</t>
        </is>
      </c>
      <c r="H4" s="2" t="inlineStr">
        <is>
          <t>{}</t>
        </is>
      </c>
    </row>
    <row r="5" ht="68" customHeight="1">
      <c r="A5" s="3" t="inlineStr">
        <is>
          <t>AUTH-01</t>
        </is>
      </c>
      <c r="B5" s="3" t="inlineStr">
        <is>
          <t>B3/P3/run2</t>
        </is>
      </c>
      <c r="C5" s="15" t="inlineStr">
        <is>
          <t>(sau khi nhập mật khẩu có yêu cầu OTP nhưng chỉ cần thoát popup đó và nhập lại mật khẩu thì lại vào được)</t>
        </is>
      </c>
      <c r="D5" s="3" t="inlineStr">
        <is>
          <t>AUTO</t>
        </is>
      </c>
      <c r="E5" s="3" t="b">
        <v>1</v>
      </c>
      <c r="F5" s="3" t="inlineStr">
        <is>
          <t>{"rFonts": {"ascii": "Times New Roman", "cs": "Times New Roman", "eastAsia": "Times New Roman", "hAnsi": "Times New Roman"}, "i": {"val": "1"}, "iCs": {"val": "1"}, "rtl": {"val": "0"}}</t>
        </is>
      </c>
      <c r="G5" s="3" t="inlineStr">
        <is>
          <t>{"rFonts": {"ascii": "Times New Roman", "cs": "Times New Roman", "eastAsia": "Times New Roman", "hAnsi": "Times New Roman"}, "i": {"val": "1"}, "iCs": {"val": "1"}}</t>
        </is>
      </c>
      <c r="H5" s="3" t="inlineStr">
        <is>
          <t>{}</t>
        </is>
      </c>
    </row>
    <row r="6" ht="68" customHeight="1">
      <c r="A6" s="2" t="inlineStr">
        <is>
          <t>AUTH-02</t>
        </is>
      </c>
      <c r="B6" s="2" t="inlineStr">
        <is>
          <t>B4/P4/run1</t>
        </is>
      </c>
      <c r="C6" s="2" t="inlineStr">
        <is>
          <t>- [ ] AUTH-02 — Đăng ký: tạo tài khoản bằng email thử chưa tồn tại, sau đó đăng ký lại cùng email. Kỳ vọng: lần đầu thành công, lần sau bị từ chối.</t>
        </is>
      </c>
      <c r="D6" s="14" t="inlineStr">
        <is>
          <t>00FF00</t>
        </is>
      </c>
      <c r="E6" s="2" t="b">
        <v>0</v>
      </c>
      <c r="F6" s="2" t="inlineStr">
        <is>
          <t>{"rFonts": {"ascii": "Times New Roman", "cs": "Times New Roman", "eastAsia": "Times New Roman", "hAnsi": "Times New Roman"}, "color": {"val": "00ff00"}, "rtl": {"val": "0"}}</t>
        </is>
      </c>
      <c r="G6" s="2" t="inlineStr">
        <is>
          <t>{"rFonts": {"ascii": "Times New Roman", "cs": "Times New Roman", "eastAsia": "Times New Roman", "hAnsi": "Times New Roman"}, "color": {"val": "00ff00"}}</t>
        </is>
      </c>
      <c r="H6" s="2" t="inlineStr">
        <is>
          <t>{}</t>
        </is>
      </c>
    </row>
    <row r="7" ht="68" customHeight="1">
      <c r="A7" s="3" t="inlineStr">
        <is>
          <t>AUTH-03</t>
        </is>
      </c>
      <c r="B7" s="3" t="inlineStr">
        <is>
          <t>B5/P5/run1</t>
        </is>
      </c>
      <c r="C7" s="3" t="inlineStr">
        <is>
          <t>- [ ] AUTH-03 — Đăng xuất: đăng xuất rồi mở lại trang cần đăng nhập. Kỳ vọng: quay về /login.</t>
        </is>
      </c>
      <c r="D7" s="16" t="inlineStr">
        <is>
          <t>FF9900</t>
        </is>
      </c>
      <c r="E7" s="3" t="b">
        <v>0</v>
      </c>
      <c r="F7" s="3" t="inlineStr">
        <is>
          <t>{"rFonts": {"ascii": "Times New Roman", "cs": "Times New Roman", "eastAsia": "Times New Roman", "hAnsi": "Times New Roman"}, "color": {"val": "ff9900"}, "rtl": {"val": "0"}}</t>
        </is>
      </c>
      <c r="G7" s="3" t="inlineStr">
        <is>
          <t>{"rFonts": {"ascii": "Times New Roman", "cs": "Times New Roman", "eastAsia": "Times New Roman", "hAnsi": "Times New Roman"}, "color": {"val": "ff9900"}}</t>
        </is>
      </c>
      <c r="H7" s="3" t="inlineStr">
        <is>
          <t>{}</t>
        </is>
      </c>
    </row>
    <row r="8" ht="53" customHeight="1">
      <c r="A8" s="2" t="inlineStr">
        <is>
          <t>AUTH-03</t>
        </is>
      </c>
      <c r="B8" s="2" t="inlineStr">
        <is>
          <t>B6/P6/run1</t>
        </is>
      </c>
      <c r="C8" s="2" t="inlineStr"/>
      <c r="D8" s="2" t="inlineStr">
        <is>
          <t>AUTO</t>
        </is>
      </c>
      <c r="E8" s="2" t="b">
        <v>0</v>
      </c>
      <c r="F8" s="2" t="inlineStr">
        <is>
          <t>{"rFonts": {"ascii": "Times New Roman", "cs": "Times New Roman", "eastAsia": "Times New Roman", "hAnsi": "Times New Roman"}}</t>
        </is>
      </c>
      <c r="G8" s="2" t="inlineStr">
        <is>
          <t>{"rFonts": {"ascii": "Times New Roman", "cs": "Times New Roman", "eastAsia": "Times New Roman", "hAnsi": "Times New Roman"}}</t>
        </is>
      </c>
      <c r="H8" s="2" t="inlineStr">
        <is>
          <t>{}</t>
        </is>
      </c>
    </row>
    <row r="9" ht="53" customHeight="1">
      <c r="A9" s="3" t="inlineStr">
        <is>
          <t>AUTH-03</t>
        </is>
      </c>
      <c r="B9" s="3" t="inlineStr">
        <is>
          <t>B6/P6/run2</t>
        </is>
      </c>
      <c r="C9" s="3" t="inlineStr"/>
      <c r="D9" s="3" t="inlineStr">
        <is>
          <t>AUTO</t>
        </is>
      </c>
      <c r="E9" s="3" t="b">
        <v>0</v>
      </c>
      <c r="F9" s="3" t="inlineStr">
        <is>
          <t>{"rtl": {"val": "0"}}</t>
        </is>
      </c>
      <c r="G9" s="3" t="inlineStr">
        <is>
          <t>{"rFonts": {"ascii": "Times New Roman", "cs": "Times New Roman", "eastAsia": "Times New Roman", "hAnsi": "Times New Roman"}}</t>
        </is>
      </c>
      <c r="H9" s="3" t="inlineStr">
        <is>
          <t>{}</t>
        </is>
      </c>
    </row>
    <row r="10" ht="68" customHeight="1">
      <c r="A10" s="2" t="inlineStr">
        <is>
          <t>AUTH-03</t>
        </is>
      </c>
      <c r="B10" s="2" t="inlineStr">
        <is>
          <t>B7/P7/run1</t>
        </is>
      </c>
      <c r="C10" s="17" t="inlineStr">
        <is>
          <t>trang đăng nhập màu chữ là màu trắng (chìm vào nền)</t>
        </is>
      </c>
      <c r="D10" s="2" t="inlineStr">
        <is>
          <t>AUTO</t>
        </is>
      </c>
      <c r="E10" s="2" t="b">
        <v>1</v>
      </c>
      <c r="F10" s="2" t="inlineStr">
        <is>
          <t>{"rFonts": {"ascii": "Times New Roman", "cs": "Times New Roman", "eastAsia": "Times New Roman", "hAnsi": "Times New Roman"}, "i": {"val": "1"}, "iCs": {"val": "1"}, "rtl": {"val": "0"}}</t>
        </is>
      </c>
      <c r="G10" s="2" t="inlineStr">
        <is>
          <t>{"rFonts": {"ascii": "Times New Roman", "cs": "Times New Roman", "eastAsia": "Times New Roman", "hAnsi": "Times New Roman"}, "i": {"val": "1"}, "iCs": {"val": "1"}}</t>
        </is>
      </c>
      <c r="H10" s="2" t="inlineStr">
        <is>
          <t>{}</t>
        </is>
      </c>
    </row>
    <row r="11" ht="68" customHeight="1">
      <c r="A11" s="3" t="inlineStr">
        <is>
          <t>AUTH-03</t>
        </is>
      </c>
      <c r="B11" s="3" t="inlineStr">
        <is>
          <t>B7/P7/run2</t>
        </is>
      </c>
      <c r="C11" s="3" t="inlineStr"/>
      <c r="D11" s="3" t="inlineStr">
        <is>
          <t>AUTO</t>
        </is>
      </c>
      <c r="E11" s="3" t="b">
        <v>0</v>
      </c>
      <c r="F11" s="3" t="inlineStr">
        <is>
          <t>{"rtl": {"val": "0"}}</t>
        </is>
      </c>
      <c r="G11" s="3" t="inlineStr">
        <is>
          <t>{"rFonts": {"ascii": "Times New Roman", "cs": "Times New Roman", "eastAsia": "Times New Roman", "hAnsi": "Times New Roman"}, "i": {"val": "1"}, "iCs": {"val": "1"}}</t>
        </is>
      </c>
      <c r="H11" s="3" t="inlineStr">
        <is>
          <t>{}</t>
        </is>
      </c>
    </row>
    <row r="12" ht="68" customHeight="1">
      <c r="A12" s="2" t="inlineStr">
        <is>
          <t>AUTH-04</t>
        </is>
      </c>
      <c r="B12" s="2" t="inlineStr">
        <is>
          <t>B8/P8/run1</t>
        </is>
      </c>
      <c r="C12" s="2" t="inlineStr">
        <is>
          <t>- [ ] AUTH-04 — Chặn trang quản trị: đăng nhập User và mở trực tiếp /members, /borrowed, /inventory. Kỳ vọng: hiện trang 403.</t>
        </is>
      </c>
      <c r="D12" s="14" t="inlineStr">
        <is>
          <t>00FF00</t>
        </is>
      </c>
      <c r="E12" s="2" t="b">
        <v>0</v>
      </c>
      <c r="F12" s="2" t="inlineStr">
        <is>
          <t>{"rFonts": {"ascii": "Times New Roman", "cs": "Times New Roman", "eastAsia": "Times New Roman", "hAnsi": "Times New Roman"}, "color": {"val": "00ff00"}, "rtl": {"val": "0"}}</t>
        </is>
      </c>
      <c r="G12" s="2" t="inlineStr">
        <is>
          <t>{"rFonts": {"ascii": "Times New Roman", "cs": "Times New Roman", "eastAsia": "Times New Roman", "hAnsi": "Times New Roman"}, "color": {"val": "00ff00"}}</t>
        </is>
      </c>
      <c r="H12" s="2" t="inlineStr">
        <is>
          <t>{}</t>
        </is>
      </c>
    </row>
    <row r="13" ht="68" customHeight="1">
      <c r="A13" s="3" t="inlineStr">
        <is>
          <t>AUTH-05</t>
        </is>
      </c>
      <c r="B13" s="3" t="inlineStr">
        <is>
          <t>B9/P9/run1</t>
        </is>
      </c>
      <c r="C13" s="3" t="inlineStr">
        <is>
          <t>- [ ] AUTH-05 — Đổi mật khẩu: dùng tài khoản thử để thử mật khẩu hiện tại sai, rồi đổi đúng. Kỳ vọng: trường hợp sai bị từ chối; mật khẩu mới đăng nhập được, mật khẩu cũ không được.</t>
        </is>
      </c>
      <c r="D13" s="14" t="inlineStr">
        <is>
          <t>00FF00</t>
        </is>
      </c>
      <c r="E13" s="3" t="b">
        <v>0</v>
      </c>
      <c r="F13" s="3" t="inlineStr">
        <is>
          <t>{"rFonts": {"ascii": "Times New Roman", "cs": "Times New Roman", "eastAsia": "Times New Roman", "hAnsi": "Times New Roman"}, "color": {"val": "00ff00"}, "rtl": {"val": "0"}}</t>
        </is>
      </c>
      <c r="G13" s="3" t="inlineStr">
        <is>
          <t>{"rFonts": {"ascii": "Times New Roman", "cs": "Times New Roman", "eastAsia": "Times New Roman", "hAnsi": "Times New Roman"}, "color": {"val": "00ff00"}}</t>
        </is>
      </c>
      <c r="H13" s="3" t="inlineStr">
        <is>
          <t>{}</t>
        </is>
      </c>
    </row>
    <row r="14" ht="53" customHeight="1">
      <c r="A14" s="2" t="inlineStr">
        <is>
          <t>AUTH-06</t>
        </is>
      </c>
      <c r="B14" s="2" t="inlineStr">
        <is>
          <t>B10/P10/run1</t>
        </is>
      </c>
      <c r="C14" s="2" t="inlineStr">
        <is>
          <t>- [ ] AUTH-06 — Quên mật khẩu (cần email thử do bạn kiểm soát): gửi OTP, thử OTP sai rồi OTP đúng. Kỳ vọng: OTP sai bị từ chối; OTP đúng đặt lại mật khẩu được. Chỉ chạy ca này sau khi kiểm tra cấu hình gửi email.</t>
        </is>
      </c>
      <c r="D14" s="2" t="inlineStr">
        <is>
          <t>AUTO</t>
        </is>
      </c>
      <c r="E14" s="2" t="b">
        <v>0</v>
      </c>
      <c r="F14" s="2" t="inlineStr">
        <is>
          <t>{"rFonts": {"ascii": "Times New Roman", "cs": "Times New Roman", "eastAsia": "Times New Roman", "hAnsi": "Times New Roman"}, "rtl": {"val": "0"}}</t>
        </is>
      </c>
      <c r="G14" s="2" t="inlineStr">
        <is>
          <t>{"rFonts": {"ascii": "Times New Roman", "cs": "Times New Roman", "eastAsia": "Times New Roman", "hAnsi": "Times New Roman"}}</t>
        </is>
      </c>
      <c r="H14" s="2" t="inlineStr">
        <is>
          <t>{}</t>
        </is>
      </c>
    </row>
    <row r="15" ht="53" customHeight="1">
      <c r="A15" s="3" t="inlineStr"/>
      <c r="B15" s="3" t="inlineStr">
        <is>
          <t>B11/P11/run1</t>
        </is>
      </c>
      <c r="C15" s="3" t="inlineStr">
        <is>
          <t>2. Danh mục và quản lý sách</t>
        </is>
      </c>
      <c r="D15" s="3" t="inlineStr">
        <is>
          <t>AUTO</t>
        </is>
      </c>
      <c r="E15" s="3" t="b">
        <v>0</v>
      </c>
      <c r="F15" s="3" t="inlineStr">
        <is>
          <t>{"rFonts": {"ascii": "Times New Roman", "cs": "Times New Roman", "eastAsia": "Times New Roman", "hAnsi": "Times New Roman"}, "rtl": {"val": "0"}}</t>
        </is>
      </c>
      <c r="G15" s="3" t="inlineStr">
        <is>
          <t>{"rFonts": {"ascii": "Times New Roman", "cs": "Times New Roman", "eastAsia": "Times New Roman", "hAnsi": "Times New Roman"}}</t>
        </is>
      </c>
      <c r="H15" s="3" t="inlineStr">
        <is>
          <t>{}</t>
        </is>
      </c>
    </row>
    <row r="16" ht="68" customHeight="1">
      <c r="A16" s="2" t="inlineStr">
        <is>
          <t>BOOK-01</t>
        </is>
      </c>
      <c r="B16" s="2" t="inlineStr">
        <is>
          <t>B12/P12/run1</t>
        </is>
      </c>
      <c r="C16" s="2" t="inlineStr">
        <is>
          <t>- [ ] BOOK-01 — Tìm kiếm/lọc: tìm theo tên, tác giả, lọc thể loại và nhập từ khóa không có kết quả. Kỳ vọng: danh sách thay đổi đúng, có trạng thái “không tìm thấy”.</t>
        </is>
      </c>
      <c r="D16" s="16" t="inlineStr">
        <is>
          <t>FF9900</t>
        </is>
      </c>
      <c r="E16" s="2" t="b">
        <v>0</v>
      </c>
      <c r="F16" s="2" t="inlineStr">
        <is>
          <t>{"rFonts": {"ascii": "Times New Roman", "cs": "Times New Roman", "eastAsia": "Times New Roman", "hAnsi": "Times New Roman"}, "color": {"val": "ff9900"}, "rtl": {"val": "0"}}</t>
        </is>
      </c>
      <c r="G16" s="2" t="inlineStr">
        <is>
          <t>{"rFonts": {"ascii": "Times New Roman", "cs": "Times New Roman", "eastAsia": "Times New Roman", "hAnsi": "Times New Roman"}, "color": {"val": "ff9900"}}</t>
        </is>
      </c>
      <c r="H16" s="2" t="inlineStr">
        <is>
          <t>{}</t>
        </is>
      </c>
    </row>
    <row r="17" ht="53" customHeight="1">
      <c r="A17" s="3" t="inlineStr">
        <is>
          <t>BOOK-01</t>
        </is>
      </c>
      <c r="B17" s="3" t="inlineStr">
        <is>
          <t>B13/P13/run1</t>
        </is>
      </c>
      <c r="C17" s="3" t="inlineStr"/>
      <c r="D17" s="3" t="inlineStr">
        <is>
          <t>AUTO</t>
        </is>
      </c>
      <c r="E17" s="3" t="b">
        <v>0</v>
      </c>
      <c r="F17" s="3" t="inlineStr">
        <is>
          <t>{"rFonts": {"ascii": "Times New Roman", "cs": "Times New Roman", "eastAsia": "Times New Roman", "hAnsi": "Times New Roman"}}</t>
        </is>
      </c>
      <c r="G17" s="3" t="inlineStr">
        <is>
          <t>{"rFonts": {"ascii": "Times New Roman", "cs": "Times New Roman", "eastAsia": "Times New Roman", "hAnsi": "Times New Roman"}}</t>
        </is>
      </c>
      <c r="H17" s="3" t="inlineStr">
        <is>
          <t>{}</t>
        </is>
      </c>
    </row>
    <row r="18" ht="53" customHeight="1">
      <c r="A18" s="2" t="inlineStr">
        <is>
          <t>BOOK-01</t>
        </is>
      </c>
      <c r="B18" s="2" t="inlineStr">
        <is>
          <t>B13/P13/run2</t>
        </is>
      </c>
      <c r="C18" s="2" t="inlineStr"/>
      <c r="D18" s="2" t="inlineStr">
        <is>
          <t>AUTO</t>
        </is>
      </c>
      <c r="E18" s="2" t="b">
        <v>0</v>
      </c>
      <c r="F18" s="2" t="inlineStr">
        <is>
          <t>{"rtl": {"val": "0"}}</t>
        </is>
      </c>
      <c r="G18" s="2" t="inlineStr">
        <is>
          <t>{"rFonts": {"ascii": "Times New Roman", "cs": "Times New Roman", "eastAsia": "Times New Roman", "hAnsi": "Times New Roman"}}</t>
        </is>
      </c>
      <c r="H18" s="2" t="inlineStr">
        <is>
          <t>{}</t>
        </is>
      </c>
    </row>
    <row r="19" ht="68" customHeight="1">
      <c r="A19" s="3" t="inlineStr">
        <is>
          <t>BOOK-01</t>
        </is>
      </c>
      <c r="B19" s="3" t="inlineStr">
        <is>
          <t>B14/P14/run1</t>
        </is>
      </c>
      <c r="C19" s="15" t="inlineStr">
        <is>
          <t>thanh tìm kiếm trên cùng không có tác dụng.</t>
        </is>
      </c>
      <c r="D19" s="3" t="inlineStr">
        <is>
          <t>AUTO</t>
        </is>
      </c>
      <c r="E19" s="3" t="b">
        <v>1</v>
      </c>
      <c r="F19" s="3" t="inlineStr">
        <is>
          <t>{"rFonts": {"ascii": "Times New Roman", "cs": "Times New Roman", "eastAsia": "Times New Roman", "hAnsi": "Times New Roman"}, "i": {"val": "1"}, "iCs": {"val": "1"}, "rtl": {"val": "0"}}</t>
        </is>
      </c>
      <c r="G19" s="3" t="inlineStr">
        <is>
          <t>{"rFonts": {"ascii": "Times New Roman", "cs": "Times New Roman", "eastAsia": "Times New Roman", "hAnsi": "Times New Roman"}, "i": {"val": "1"}, "iCs": {"val": "1"}}</t>
        </is>
      </c>
      <c r="H19" s="3" t="inlineStr">
        <is>
          <t>{}</t>
        </is>
      </c>
    </row>
    <row r="20" ht="68" customHeight="1">
      <c r="A20" s="2" t="inlineStr">
        <is>
          <t>BOOK-02</t>
        </is>
      </c>
      <c r="B20" s="2" t="inlineStr">
        <is>
          <t>B15/P15/run1</t>
        </is>
      </c>
      <c r="C20" s="2" t="inlineStr">
        <is>
          <t>- [ ] BOOK-02 — Chi tiết sách: mở một thẻ sách. Kỳ vọng: tác giả, ISBN, thể loại, số bản còn lại và thông tin từng bản sao hiển thị đúng.</t>
        </is>
      </c>
      <c r="D20" s="14" t="inlineStr">
        <is>
          <t>00FF00</t>
        </is>
      </c>
      <c r="E20" s="2" t="b">
        <v>0</v>
      </c>
      <c r="F20" s="2" t="inlineStr">
        <is>
          <t>{"rFonts": {"ascii": "Times New Roman", "cs": "Times New Roman", "eastAsia": "Times New Roman", "hAnsi": "Times New Roman"}, "color": {"val": "00ff00"}, "rtl": {"val": "0"}}</t>
        </is>
      </c>
      <c r="G20" s="2" t="inlineStr">
        <is>
          <t>{"rFonts": {"ascii": "Times New Roman", "cs": "Times New Roman", "eastAsia": "Times New Roman", "hAnsi": "Times New Roman"}, "color": {"val": "00ff00"}}</t>
        </is>
      </c>
      <c r="H20" s="2" t="inlineStr">
        <is>
          <t>{}</t>
        </is>
      </c>
    </row>
    <row r="21" ht="53" customHeight="1">
      <c r="A21" s="3" t="inlineStr">
        <is>
          <t>BOOK-03</t>
        </is>
      </c>
      <c r="B21" s="3" t="inlineStr">
        <is>
          <t>B16/P16/run1</t>
        </is>
      </c>
      <c r="C21" s="3" t="inlineStr">
        <is>
          <t>- [ ] BOOK-03 — Gợi ý sách: xem khu gợi ý, chọn một sách. Kỳ vọng: mở đúng chi tiết sách; nếu tài khoản chưa có lịch sử phù hợp, có thể thấy gợi ý “thịnh hành”.</t>
        </is>
      </c>
      <c r="D21" s="3" t="inlineStr">
        <is>
          <t>AUTO</t>
        </is>
      </c>
      <c r="E21" s="3" t="b">
        <v>0</v>
      </c>
      <c r="F21" s="3" t="inlineStr">
        <is>
          <t>{"rFonts": {"ascii": "Times New Roman", "cs": "Times New Roman", "eastAsia": "Times New Roman", "hAnsi": "Times New Roman"}, "rtl": {"val": "0"}}</t>
        </is>
      </c>
      <c r="G21" s="3" t="inlineStr">
        <is>
          <t>{"rFonts": {"ascii": "Times New Roman", "cs": "Times New Roman", "eastAsia": "Times New Roman", "hAnsi": "Times New Roman"}}</t>
        </is>
      </c>
      <c r="H21" s="3" t="inlineStr">
        <is>
          <t>{}</t>
        </is>
      </c>
    </row>
    <row r="22" ht="53" customHeight="1">
      <c r="A22" s="2" t="inlineStr">
        <is>
          <t>BOOK-03</t>
        </is>
      </c>
      <c r="B22" s="2" t="inlineStr">
        <is>
          <t>B17/P17/run1</t>
        </is>
      </c>
      <c r="C22" s="2" t="inlineStr"/>
      <c r="D22" s="2" t="inlineStr">
        <is>
          <t>AUTO</t>
        </is>
      </c>
      <c r="E22" s="2" t="b">
        <v>0</v>
      </c>
      <c r="F22" s="2" t="inlineStr">
        <is>
          <t>{"rtl": {"val": "0"}}</t>
        </is>
      </c>
      <c r="G22" s="2" t="inlineStr">
        <is>
          <t>{"rFonts": {"ascii": "Times New Roman", "cs": "Times New Roman", "eastAsia": "Times New Roman", "hAnsi": "Times New Roman"}}</t>
        </is>
      </c>
      <c r="H22" s="2" t="inlineStr">
        <is>
          <t>{}</t>
        </is>
      </c>
    </row>
    <row r="23" ht="68" customHeight="1">
      <c r="A23" s="3" t="inlineStr">
        <is>
          <t>BOOK-04</t>
        </is>
      </c>
      <c r="B23" s="3" t="inlineStr">
        <is>
          <t>B18/P18/run1</t>
        </is>
      </c>
      <c r="C23" s="3" t="inlineStr">
        <is>
          <t>- [ ] BOOK-04 — Thêm sách: Admin tạo sách thử với 2 bản. Kỳ vọng: có 1 đầu sách, 2 bản sao vật lý với 2 barcode khác nhau, số khả dụng là 2.</t>
        </is>
      </c>
      <c r="D23" s="16" t="inlineStr">
        <is>
          <t>FF9900</t>
        </is>
      </c>
      <c r="E23" s="3" t="b">
        <v>0</v>
      </c>
      <c r="F23" s="3" t="inlineStr">
        <is>
          <t>{"rFonts": {"ascii": "Times New Roman", "cs": "Times New Roman", "eastAsia": "Times New Roman", "hAnsi": "Times New Roman"}, "color": {"val": "ff9900"}, "rtl": {"val": "0"}}</t>
        </is>
      </c>
      <c r="G23" s="3" t="inlineStr">
        <is>
          <t>{"rFonts": {"ascii": "Times New Roman", "cs": "Times New Roman", "eastAsia": "Times New Roman", "hAnsi": "Times New Roman"}, "color": {"val": "ff9900"}}</t>
        </is>
      </c>
      <c r="H23" s="3" t="inlineStr">
        <is>
          <t>{}</t>
        </is>
      </c>
    </row>
    <row r="24" ht="53" customHeight="1">
      <c r="A24" s="2" t="inlineStr">
        <is>
          <t>BOOK-04</t>
        </is>
      </c>
      <c r="B24" s="2" t="inlineStr">
        <is>
          <t>B19/P19/run1</t>
        </is>
      </c>
      <c r="C24" s="2" t="inlineStr"/>
      <c r="D24" s="2" t="inlineStr">
        <is>
          <t>AUTO</t>
        </is>
      </c>
      <c r="E24" s="2" t="b">
        <v>0</v>
      </c>
      <c r="F24" s="2" t="inlineStr">
        <is>
          <t>{"rFonts": {"ascii": "Times New Roman", "cs": "Times New Roman", "eastAsia": "Times New Roman", "hAnsi": "Times New Roman"}}</t>
        </is>
      </c>
      <c r="G24" s="2" t="inlineStr">
        <is>
          <t>{"rFonts": {"ascii": "Times New Roman", "cs": "Times New Roman", "eastAsia": "Times New Roman", "hAnsi": "Times New Roman"}}</t>
        </is>
      </c>
      <c r="H24" s="2" t="inlineStr">
        <is>
          <t>{}</t>
        </is>
      </c>
    </row>
    <row r="25" ht="53" customHeight="1">
      <c r="A25" s="3" t="inlineStr">
        <is>
          <t>BOOK-04</t>
        </is>
      </c>
      <c r="B25" s="3" t="inlineStr">
        <is>
          <t>B19/P19/run2</t>
        </is>
      </c>
      <c r="C25" s="3" t="inlineStr"/>
      <c r="D25" s="3" t="inlineStr">
        <is>
          <t>AUTO</t>
        </is>
      </c>
      <c r="E25" s="3" t="b">
        <v>0</v>
      </c>
      <c r="F25" s="3" t="inlineStr">
        <is>
          <t>{"rtl": {"val": "0"}}</t>
        </is>
      </c>
      <c r="G25" s="3" t="inlineStr">
        <is>
          <t>{"rFonts": {"ascii": "Times New Roman", "cs": "Times New Roman", "eastAsia": "Times New Roman", "hAnsi": "Times New Roman"}}</t>
        </is>
      </c>
      <c r="H25" s="3" t="inlineStr">
        <is>
          <t>{}</t>
        </is>
      </c>
    </row>
    <row r="26" ht="68" customHeight="1">
      <c r="A26" s="2" t="inlineStr">
        <is>
          <t>BOOK-04</t>
        </is>
      </c>
      <c r="B26" s="2" t="inlineStr">
        <is>
          <t>B20/P20/run1</t>
        </is>
      </c>
      <c r="C26" s="17" t="inlineStr">
        <is>
          <t>Bỏ “Còn lại” (sách thêm mới có ai mượn đâu nên không cần còn lại) và “Số trang” (không quan trọng nên có thể lược bỏ). Năm xuất bản và NXB có thể suy ra được từ mã ISBN, nếu được thì thêm chức năng tự fill NXB từ mã ISBN.</t>
        </is>
      </c>
      <c r="D26" s="2" t="inlineStr">
        <is>
          <t>AUTO</t>
        </is>
      </c>
      <c r="E26" s="2" t="b">
        <v>1</v>
      </c>
      <c r="F26" s="2" t="inlineStr">
        <is>
          <t>{"rFonts": {"ascii": "Times New Roman", "cs": "Times New Roman", "eastAsia": "Times New Roman", "hAnsi": "Times New Roman"}, "i": {"val": "1"}, "iCs": {"val": "1"}, "rtl": {"val": "0"}}</t>
        </is>
      </c>
      <c r="G26" s="2" t="inlineStr">
        <is>
          <t>{"rFonts": {"ascii": "Times New Roman", "cs": "Times New Roman", "eastAsia": "Times New Roman", "hAnsi": "Times New Roman"}, "i": {"val": "1"}, "iCs": {"val": "1"}}</t>
        </is>
      </c>
      <c r="H26" s="2" t="inlineStr">
        <is>
          <t>{}</t>
        </is>
      </c>
    </row>
    <row r="27" ht="68" customHeight="1">
      <c r="A27" s="3" t="inlineStr">
        <is>
          <t>BOOK-04</t>
        </is>
      </c>
      <c r="B27" s="3" t="inlineStr">
        <is>
          <t>B21/P21/run1</t>
        </is>
      </c>
      <c r="C27" s="3" t="inlineStr"/>
      <c r="D27" s="3" t="inlineStr">
        <is>
          <t>AUTO</t>
        </is>
      </c>
      <c r="E27" s="3" t="b">
        <v>0</v>
      </c>
      <c r="F27" s="3" t="inlineStr">
        <is>
          <t>{"rtl": {"val": "0"}}</t>
        </is>
      </c>
      <c r="G27" s="3" t="inlineStr">
        <is>
          <t>{"rFonts": {"ascii": "Times New Roman", "cs": "Times New Roman", "eastAsia": "Times New Roman", "hAnsi": "Times New Roman"}, "i": {"val": "1"}, "iCs": {"val": "1"}}</t>
        </is>
      </c>
      <c r="H27" s="3" t="inlineStr">
        <is>
          <t>{}</t>
        </is>
      </c>
    </row>
    <row r="28" ht="68" customHeight="1">
      <c r="A28" s="2" t="inlineStr">
        <is>
          <t>BOOK-05</t>
        </is>
      </c>
      <c r="B28" s="2" t="inlineStr">
        <is>
          <t>B22/P22/run1</t>
        </is>
      </c>
      <c r="C28" s="2" t="inlineStr">
        <is>
          <t>- [ ] BOOK-05 — Dữ liệu thiếu/không hợp lệ: bỏ trống trường bắt buộc hoặc nhập số lượng dưới 1. Kỳ vọng: không tạo sách và hiện lỗi.</t>
        </is>
      </c>
      <c r="D28" s="14" t="inlineStr">
        <is>
          <t>00FF00</t>
        </is>
      </c>
      <c r="E28" s="2" t="b">
        <v>0</v>
      </c>
      <c r="F28" s="2" t="inlineStr">
        <is>
          <t>{"rFonts": {"ascii": "Times New Roman", "cs": "Times New Roman", "eastAsia": "Times New Roman", "hAnsi": "Times New Roman"}, "color": {"val": "00ff00"}, "rtl": {"val": "0"}}</t>
        </is>
      </c>
      <c r="G28" s="2" t="inlineStr">
        <is>
          <t>{"rFonts": {"ascii": "Times New Roman", "cs": "Times New Roman", "eastAsia": "Times New Roman", "hAnsi": "Times New Roman"}, "color": {"val": "00ff00"}}</t>
        </is>
      </c>
      <c r="H28" s="2" t="inlineStr">
        <is>
          <t>{}</t>
        </is>
      </c>
    </row>
    <row r="29" ht="68" customHeight="1">
      <c r="A29" s="3" t="inlineStr">
        <is>
          <t>BOOK-06</t>
        </is>
      </c>
      <c r="B29" s="3" t="inlineStr">
        <is>
          <t>B23/P23/run1</t>
        </is>
      </c>
      <c r="C29" s="3" t="inlineStr">
        <is>
          <t>- [ ] BOOK-06 — Thêm lại cùng ISBN: dùng nút Thêm sách với ISBN của BOOK-04. Kỳ vọng: cộng bản sao vào đầu sách cũ, không tạo đầu sách thứ hai.</t>
        </is>
      </c>
      <c r="D29" s="14" t="inlineStr">
        <is>
          <t>00FF00</t>
        </is>
      </c>
      <c r="E29" s="3" t="b">
        <v>0</v>
      </c>
      <c r="F29" s="3" t="inlineStr">
        <is>
          <t>{"rFonts": {"ascii": "Times New Roman", "cs": "Times New Roman", "eastAsia": "Times New Roman", "hAnsi": "Times New Roman"}, "color": {"val": "00ff00"}, "rtl": {"val": "0"}}</t>
        </is>
      </c>
      <c r="G29" s="3" t="inlineStr">
        <is>
          <t>{"rFonts": {"ascii": "Times New Roman", "cs": "Times New Roman", "eastAsia": "Times New Roman", "hAnsi": "Times New Roman"}, "color": {"val": "00ff00"}}</t>
        </is>
      </c>
      <c r="H29" s="3" t="inlineStr">
        <is>
          <t>{}</t>
        </is>
      </c>
    </row>
    <row r="30" ht="68" customHeight="1">
      <c r="A30" s="2" t="inlineStr">
        <is>
          <t>BOOK-07</t>
        </is>
      </c>
      <c r="B30" s="2" t="inlineStr">
        <is>
          <t>B24/P24/run1</t>
        </is>
      </c>
      <c r="C30" s="2" t="inlineStr">
        <is>
          <t>- [ ] BOOK-07 — Sửa sách: đổi tên/mô tả và tăng số lượng từ 2 lên 3. Kỳ vọng: thông tin được lưu, có thêm barcode mới, barcode cũ giữ nguyên.</t>
        </is>
      </c>
      <c r="D30" s="14" t="inlineStr">
        <is>
          <t>00FF00</t>
        </is>
      </c>
      <c r="E30" s="2" t="b">
        <v>0</v>
      </c>
      <c r="F30" s="2" t="inlineStr">
        <is>
          <t>{"rFonts": {"ascii": "Times New Roman", "cs": "Times New Roman", "eastAsia": "Times New Roman", "hAnsi": "Times New Roman"}, "color": {"val": "00ff00"}, "rtl": {"val": "0"}}</t>
        </is>
      </c>
      <c r="G30" s="2" t="inlineStr">
        <is>
          <t>{"rFonts": {"ascii": "Times New Roman", "cs": "Times New Roman", "eastAsia": "Times New Roman", "hAnsi": "Times New Roman"}, "color": {"val": "00ff00"}}</t>
        </is>
      </c>
      <c r="H30" s="2" t="inlineStr">
        <is>
          <t>{}</t>
        </is>
      </c>
    </row>
    <row r="31" ht="68" customHeight="1">
      <c r="A31" s="3" t="inlineStr">
        <is>
          <t>BOOK-08</t>
        </is>
      </c>
      <c r="B31" s="3" t="inlineStr">
        <is>
          <t>B25/P25/run1</t>
        </is>
      </c>
      <c r="C31" s="3" t="inlineStr">
        <is>
          <t>- [ ] BOOK-08 — E-book: Admin tải một PDF/EPUB thử lên sách thử; mở “Đọc online” trong chi tiết. Kỳ vọng: file mở được. Thử file định dạng khác và ghi nhận thông báo lỗi.</t>
        </is>
      </c>
      <c r="D31" s="14" t="inlineStr">
        <is>
          <t>00FF00</t>
        </is>
      </c>
      <c r="E31" s="3" t="b">
        <v>0</v>
      </c>
      <c r="F31" s="3" t="inlineStr">
        <is>
          <t>{"rFonts": {"ascii": "Times New Roman", "cs": "Times New Roman", "eastAsia": "Times New Roman", "hAnsi": "Times New Roman"}, "color": {"val": "00ff00"}, "rtl": {"val": "0"}}</t>
        </is>
      </c>
      <c r="G31" s="3" t="inlineStr">
        <is>
          <t>{"rFonts": {"ascii": "Times New Roman", "cs": "Times New Roman", "eastAsia": "Times New Roman", "hAnsi": "Times New Roman"}, "color": {"val": "00ff00"}}</t>
        </is>
      </c>
      <c r="H31" s="3" t="inlineStr">
        <is>
          <t>{}</t>
        </is>
      </c>
    </row>
    <row r="32" ht="68" customHeight="1">
      <c r="A32" s="2" t="inlineStr">
        <is>
          <t>BOOK-09</t>
        </is>
      </c>
      <c r="B32" s="2" t="inlineStr">
        <is>
          <t>B26/P26/run1</t>
        </is>
      </c>
      <c r="C32" s="2" t="inlineStr">
        <is>
          <t>- [ ] BOOK-09 — In tem barcode: in một tem và in tất cả tem của sách thử. Kỳ vọng: barcode trên bản xem trước khớp dữ liệu trong chi tiết.</t>
        </is>
      </c>
      <c r="D32" s="14" t="inlineStr">
        <is>
          <t>00FF00</t>
        </is>
      </c>
      <c r="E32" s="2" t="b">
        <v>0</v>
      </c>
      <c r="F32" s="2" t="inlineStr">
        <is>
          <t>{"rFonts": {"ascii": "Times New Roman", "cs": "Times New Roman", "eastAsia": "Times New Roman", "hAnsi": "Times New Roman"}, "color": {"val": "00ff00"}, "rtl": {"val": "0"}}</t>
        </is>
      </c>
      <c r="G32" s="2" t="inlineStr">
        <is>
          <t>{"rFonts": {"ascii": "Times New Roman", "cs": "Times New Roman", "eastAsia": "Times New Roman", "hAnsi": "Times New Roman"}, "color": {"val": "00ff00"}}</t>
        </is>
      </c>
      <c r="H32" s="2" t="inlineStr">
        <is>
          <t>{}</t>
        </is>
      </c>
    </row>
    <row r="33" ht="68" customHeight="1">
      <c r="A33" s="3" t="inlineStr">
        <is>
          <t>BOOK-10</t>
        </is>
      </c>
      <c r="B33" s="3" t="inlineStr">
        <is>
          <t>B27/P27/run1</t>
        </is>
      </c>
      <c r="C33" s="3" t="inlineStr">
        <is>
          <t>- [ ] BOOK-10 — Xóa sách thử: xóa sách chưa phát sinh phiếu mượn. Kỳ vọng: sách không còn trong danh mục.</t>
        </is>
      </c>
      <c r="D33" s="14" t="inlineStr">
        <is>
          <t>00FF00</t>
        </is>
      </c>
      <c r="E33" s="3" t="b">
        <v>0</v>
      </c>
      <c r="F33" s="3" t="inlineStr">
        <is>
          <t>{"rFonts": {"ascii": "Times New Roman", "cs": "Times New Roman", "eastAsia": "Times New Roman", "hAnsi": "Times New Roman"}, "color": {"val": "00ff00"}, "rtl": {"val": "0"}}</t>
        </is>
      </c>
      <c r="G33" s="3" t="inlineStr">
        <is>
          <t>{"rFonts": {"ascii": "Times New Roman", "cs": "Times New Roman", "eastAsia": "Times New Roman", "hAnsi": "Times New Roman"}, "color": {"val": "00ff00"}}</t>
        </is>
      </c>
      <c r="H33" s="3" t="inlineStr">
        <is>
          <t>{}</t>
        </is>
      </c>
    </row>
    <row r="34" ht="53" customHeight="1">
      <c r="A34" s="2" t="inlineStr">
        <is>
          <t>BOOK-10</t>
        </is>
      </c>
      <c r="B34" s="2" t="inlineStr">
        <is>
          <t>B28/P28/run1</t>
        </is>
      </c>
      <c r="C34" s="2" t="inlineStr">
        <is>
          <t>Lưu ý: Thêm sách cùng ISBN và nhập Excel trùng ISBN có cách xử lý khác nhau trong code; đừng dùng cùng kỳ vọng cho hai ca này</t>
        </is>
      </c>
      <c r="D34" s="14" t="inlineStr">
        <is>
          <t>00FF00</t>
        </is>
      </c>
      <c r="E34" s="2" t="b">
        <v>0</v>
      </c>
      <c r="F34" s="2" t="inlineStr">
        <is>
          <t>{"rFonts": {"ascii": "Times New Roman", "cs": "Times New Roman", "eastAsia": "Times New Roman", "hAnsi": "Times New Roman"}, "color": {"val": "00ff00"}, "rtl": {"val": "0"}}</t>
        </is>
      </c>
      <c r="G34" s="2" t="inlineStr">
        <is>
          <t>{"rFonts": {"ascii": "Times New Roman", "cs": "Times New Roman", "eastAsia": "Times New Roman", "hAnsi": "Times New Roman"}}</t>
        </is>
      </c>
      <c r="H34" s="2" t="inlineStr">
        <is>
          <t>{}</t>
        </is>
      </c>
    </row>
    <row r="35" ht="53" customHeight="1">
      <c r="A35" s="3" t="inlineStr">
        <is>
          <t>BOOK-10</t>
        </is>
      </c>
      <c r="B35" s="3" t="inlineStr">
        <is>
          <t>B28/P28/run2</t>
        </is>
      </c>
      <c r="C35" s="3" t="inlineStr">
        <is>
          <t>.</t>
        </is>
      </c>
      <c r="D35" s="3" t="inlineStr">
        <is>
          <t>AUTO</t>
        </is>
      </c>
      <c r="E35" s="3" t="b">
        <v>0</v>
      </c>
      <c r="F35" s="3" t="inlineStr">
        <is>
          <t>{"rFonts": {"ascii": "Times New Roman", "cs": "Times New Roman", "eastAsia": "Times New Roman", "hAnsi": "Times New Roman"}, "rtl": {"val": "0"}}</t>
        </is>
      </c>
      <c r="G35" s="3" t="inlineStr">
        <is>
          <t>{"rFonts": {"ascii": "Times New Roman", "cs": "Times New Roman", "eastAsia": "Times New Roman", "hAnsi": "Times New Roman"}}</t>
        </is>
      </c>
      <c r="H35" s="3" t="inlineStr">
        <is>
          <t>{}</t>
        </is>
      </c>
    </row>
    <row r="36" ht="53" customHeight="1">
      <c r="A36" s="2" t="inlineStr"/>
      <c r="B36" s="2" t="inlineStr">
        <is>
          <t>B29/P29/run1</t>
        </is>
      </c>
      <c r="C36" s="2" t="inlineStr">
        <is>
          <t>3. Nhập sách từ Excel</t>
        </is>
      </c>
      <c r="D36" s="2" t="inlineStr">
        <is>
          <t>AUTO</t>
        </is>
      </c>
      <c r="E36" s="2" t="b">
        <v>0</v>
      </c>
      <c r="F36" s="2" t="inlineStr">
        <is>
          <t>{"rFonts": {"ascii": "Times New Roman", "cs": "Times New Roman", "eastAsia": "Times New Roman", "hAnsi": "Times New Roman"}, "rtl": {"val": "0"}}</t>
        </is>
      </c>
      <c r="G36" s="2" t="inlineStr">
        <is>
          <t>{"rFonts": {"ascii": "Times New Roman", "cs": "Times New Roman", "eastAsia": "Times New Roman", "hAnsi": "Times New Roman"}}</t>
        </is>
      </c>
      <c r="H36" s="2" t="inlineStr">
        <is>
          <t>{}</t>
        </is>
      </c>
    </row>
    <row r="37" ht="68" customHeight="1">
      <c r="A37" s="3" t="inlineStr">
        <is>
          <t>EXCEL-01</t>
        </is>
      </c>
      <c r="B37" s="3" t="inlineStr">
        <is>
          <t>B30/P30/run1</t>
        </is>
      </c>
      <c r="C37" s="3" t="inlineStr">
        <is>
          <t>- [ ] EXCEL-01 — Tải mẫu: Admin bấm tải file mẫu. Kỳ vọng: nhận được .xlsx mở được, có các cột hướng dẫn.</t>
        </is>
      </c>
      <c r="D37" s="14" t="inlineStr">
        <is>
          <t>00FF00</t>
        </is>
      </c>
      <c r="E37" s="3" t="b">
        <v>0</v>
      </c>
      <c r="F37" s="3" t="inlineStr">
        <is>
          <t>{"rFonts": {"ascii": "Times New Roman", "cs": "Times New Roman", "eastAsia": "Times New Roman", "hAnsi": "Times New Roman"}, "color": {"val": "00ff00"}, "rtl": {"val": "0"}}</t>
        </is>
      </c>
      <c r="G37" s="3" t="inlineStr">
        <is>
          <t>{"rFonts": {"ascii": "Times New Roman", "cs": "Times New Roman", "eastAsia": "Times New Roman", "hAnsi": "Times New Roman"}, "color": {"val": "00ff00"}}</t>
        </is>
      </c>
      <c r="H37" s="3" t="inlineStr">
        <is>
          <t>{}</t>
        </is>
      </c>
    </row>
    <row r="38" ht="53" customHeight="1">
      <c r="A38" s="2" t="inlineStr">
        <is>
          <t>EXCEL-02</t>
        </is>
      </c>
      <c r="B38" s="2" t="inlineStr">
        <is>
          <t>B31/P31/run1</t>
        </is>
      </c>
      <c r="C38" s="2" t="inlineStr">
        <is>
          <t>- [ ] EXCEL-02 — Nhập hợp lệ: sửa file mẫu còn một dòng sách thử với ISBN mới và số lượng 2. Kỳ vọng: báo nhập thành công; danh mục có sách và 2 bản sao</t>
        </is>
      </c>
      <c r="D38" s="14" t="inlineStr">
        <is>
          <t>00FF00</t>
        </is>
      </c>
      <c r="E38" s="2" t="b">
        <v>0</v>
      </c>
      <c r="F38" s="2" t="inlineStr">
        <is>
          <t>{"rFonts": {"ascii": "Times New Roman", "cs": "Times New Roman", "eastAsia": "Times New Roman", "hAnsi": "Times New Roman"}, "color": {"val": "00ff00"}, "rtl": {"val": "0"}}</t>
        </is>
      </c>
      <c r="G38" s="2" t="inlineStr">
        <is>
          <t>{"rFonts": {"ascii": "Times New Roman", "cs": "Times New Roman", "eastAsia": "Times New Roman", "hAnsi": "Times New Roman"}}</t>
        </is>
      </c>
      <c r="H38" s="2" t="inlineStr">
        <is>
          <t>{}</t>
        </is>
      </c>
    </row>
    <row r="39" ht="53" customHeight="1">
      <c r="A39" s="3" t="inlineStr">
        <is>
          <t>EXCEL-02</t>
        </is>
      </c>
      <c r="B39" s="3" t="inlineStr">
        <is>
          <t>B31/P31/run2</t>
        </is>
      </c>
      <c r="C39" s="3" t="inlineStr">
        <is>
          <t>.</t>
        </is>
      </c>
      <c r="D39" s="3" t="inlineStr">
        <is>
          <t>AUTO</t>
        </is>
      </c>
      <c r="E39" s="3" t="b">
        <v>0</v>
      </c>
      <c r="F39" s="3" t="inlineStr">
        <is>
          <t>{"rFonts": {"ascii": "Times New Roman", "cs": "Times New Roman", "eastAsia": "Times New Roman", "hAnsi": "Times New Roman"}, "rtl": {"val": "0"}}</t>
        </is>
      </c>
      <c r="G39" s="3" t="inlineStr">
        <is>
          <t>{"rFonts": {"ascii": "Times New Roman", "cs": "Times New Roman", "eastAsia": "Times New Roman", "hAnsi": "Times New Roman"}}</t>
        </is>
      </c>
      <c r="H39" s="3" t="inlineStr">
        <is>
          <t>{}</t>
        </is>
      </c>
    </row>
    <row r="40" ht="68" customHeight="1">
      <c r="A40" s="2" t="inlineStr">
        <is>
          <t>EXCEL-03</t>
        </is>
      </c>
      <c r="B40" s="2" t="inlineStr">
        <is>
          <t>B32/P32/run1</t>
        </is>
      </c>
      <c r="C40" s="2" t="inlineStr">
        <is>
          <t>- [ ] EXCEL-03 — Dòng lỗi/trùng ISBN: thêm một dòng thiếu tiêu đề và một dòng có ISBN đã tồn tại. Kỳ vọng: báo các dòng bị bỏ qua kèm lý do; không tạo dữ liệu trùng.</t>
        </is>
      </c>
      <c r="D40" s="14" t="inlineStr">
        <is>
          <t>00FF00</t>
        </is>
      </c>
      <c r="E40" s="2" t="b">
        <v>0</v>
      </c>
      <c r="F40" s="2" t="inlineStr">
        <is>
          <t>{"rFonts": {"ascii": "Times New Roman", "cs": "Times New Roman", "eastAsia": "Times New Roman", "hAnsi": "Times New Roman"}, "color": {"val": "00ff00"}, "rtl": {"val": "0"}}</t>
        </is>
      </c>
      <c r="G40" s="2" t="inlineStr">
        <is>
          <t>{"rFonts": {"ascii": "Times New Roman", "cs": "Times New Roman", "eastAsia": "Times New Roman", "hAnsi": "Times New Roman"}, "color": {"val": "00ff00"}}</t>
        </is>
      </c>
      <c r="H40" s="2" t="inlineStr">
        <is>
          <t>{}</t>
        </is>
      </c>
    </row>
    <row r="41" ht="68" customHeight="1">
      <c r="A41" s="3" t="inlineStr">
        <is>
          <t>EXCEL-04</t>
        </is>
      </c>
      <c r="B41" s="3" t="inlineStr">
        <is>
          <t>B33/P33/run1</t>
        </is>
      </c>
      <c r="C41" s="3" t="inlineStr">
        <is>
          <t>- [ ] EXCEL-04 — Sai định dạng: chọn file không phải .xlsx/.xls. Kỳ vọng: giao diện từ chối file.</t>
        </is>
      </c>
      <c r="D41" s="14" t="inlineStr">
        <is>
          <t>00FF00</t>
        </is>
      </c>
      <c r="E41" s="3" t="b">
        <v>0</v>
      </c>
      <c r="F41" s="3" t="inlineStr">
        <is>
          <t>{"rFonts": {"ascii": "Times New Roman", "cs": "Times New Roman", "eastAsia": "Times New Roman", "hAnsi": "Times New Roman"}, "color": {"val": "00ff00"}, "rtl": {"val": "0"}}</t>
        </is>
      </c>
      <c r="G41" s="3" t="inlineStr">
        <is>
          <t>{"rFonts": {"ascii": "Times New Roman", "cs": "Times New Roman", "eastAsia": "Times New Roman", "hAnsi": "Times New Roman"}, "color": {"val": "00ff00"}}</t>
        </is>
      </c>
      <c r="H41" s="3" t="inlineStr">
        <is>
          <t>{}</t>
        </is>
      </c>
    </row>
    <row r="42" ht="53" customHeight="1">
      <c r="A42" s="2" t="inlineStr"/>
      <c r="B42" s="2" t="inlineStr">
        <is>
          <t>B34/P34/run1</t>
        </is>
      </c>
      <c r="C42" s="2" t="inlineStr">
        <is>
          <t>4. Đặt trước sách</t>
        </is>
      </c>
      <c r="D42" s="2" t="inlineStr">
        <is>
          <t>AUTO</t>
        </is>
      </c>
      <c r="E42" s="2" t="b">
        <v>0</v>
      </c>
      <c r="F42" s="2" t="inlineStr">
        <is>
          <t>{"rFonts": {"ascii": "Times New Roman", "cs": "Times New Roman", "eastAsia": "Times New Roman", "hAnsi": "Times New Roman"}, "rtl": {"val": "0"}}</t>
        </is>
      </c>
      <c r="G42" s="2" t="inlineStr">
        <is>
          <t>{"rFonts": {"ascii": "Times New Roman", "cs": "Times New Roman", "eastAsia": "Times New Roman", "hAnsi": "Times New Roman"}}</t>
        </is>
      </c>
      <c r="H42" s="2" t="inlineStr">
        <is>
          <t>{}</t>
        </is>
      </c>
    </row>
    <row r="43" ht="68" customHeight="1">
      <c r="A43" s="3" t="inlineStr">
        <is>
          <t>RES-01</t>
        </is>
      </c>
      <c r="B43" s="3" t="inlineStr">
        <is>
          <t>B35/P35/run1</t>
        </is>
      </c>
      <c r="C43" s="3" t="inlineStr">
        <is>
          <t xml:space="preserve">- [ ] RES-01 — </t>
        </is>
      </c>
      <c r="D43" s="3" t="inlineStr">
        <is>
          <t>AUTO</t>
        </is>
      </c>
      <c r="E43" s="3" t="b">
        <v>0</v>
      </c>
      <c r="F43" s="3" t="inlineStr">
        <is>
          <t>{"rFonts": {"ascii": "Times New Roman", "cs": "Times New Roman", "eastAsia": "Times New Roman", "hAnsi": "Times New Roman"}, "rtl": {"val": "0"}}</t>
        </is>
      </c>
      <c r="G43" s="3" t="inlineStr">
        <is>
          <t>{"rFonts": {"ascii": "Times New Roman", "cs": "Times New Roman", "eastAsia": "Times New Roman", "hAnsi": "Times New Roman"}, "color": {"val": "00ff00"}}</t>
        </is>
      </c>
      <c r="H43" s="3" t="inlineStr">
        <is>
          <t>{}</t>
        </is>
      </c>
    </row>
    <row r="44" ht="68" customHeight="1">
      <c r="A44" s="2" t="inlineStr">
        <is>
          <t>RES-01</t>
        </is>
      </c>
      <c r="B44" s="2" t="inlineStr">
        <is>
          <t>B35/P35/run2</t>
        </is>
      </c>
      <c r="C44" s="2" t="inlineStr">
        <is>
          <t>Đặt trước sách hết bản: User chọn sách có 0 bản khả dụng. Kỳ vọng: tạo yêu cầu WAITING, thấy trong Hồ sơ và có thông báo.</t>
        </is>
      </c>
      <c r="D44" s="14" t="inlineStr">
        <is>
          <t>00FF00</t>
        </is>
      </c>
      <c r="E44" s="2" t="b">
        <v>0</v>
      </c>
      <c r="F44" s="2" t="inlineStr">
        <is>
          <t>{"rFonts": {"ascii": "Times New Roman", "cs": "Times New Roman", "eastAsia": "Times New Roman", "hAnsi": "Times New Roman"}, "color": {"val": "00ff00"}, "rtl": {"val": "0"}}</t>
        </is>
      </c>
      <c r="G44" s="2" t="inlineStr">
        <is>
          <t>{"rFonts": {"ascii": "Times New Roman", "cs": "Times New Roman", "eastAsia": "Times New Roman", "hAnsi": "Times New Roman"}, "color": {"val": "00ff00"}}</t>
        </is>
      </c>
      <c r="H44" s="2" t="inlineStr">
        <is>
          <t>{}</t>
        </is>
      </c>
    </row>
    <row r="45" ht="68" customHeight="1">
      <c r="A45" s="3" t="inlineStr">
        <is>
          <t>RES-01</t>
        </is>
      </c>
      <c r="B45" s="3" t="inlineStr">
        <is>
          <t>B36/P36/run1</t>
        </is>
      </c>
      <c r="C45" s="3" t="inlineStr"/>
      <c r="D45" s="14" t="inlineStr">
        <is>
          <t>00FF00</t>
        </is>
      </c>
      <c r="E45" s="3" t="b">
        <v>0</v>
      </c>
      <c r="F45" s="3" t="inlineStr">
        <is>
          <t>{"rFonts": {"ascii": "Times New Roman", "cs": "Times New Roman", "eastAsia": "Times New Roman", "hAnsi": "Times New Roman"}, "color": {"val": "00ff00"}}</t>
        </is>
      </c>
      <c r="G45" s="3" t="inlineStr">
        <is>
          <t>{"rFonts": {"ascii": "Times New Roman", "cs": "Times New Roman", "eastAsia": "Times New Roman", "hAnsi": "Times New Roman"}, "color": {"val": "00ff00"}}</t>
        </is>
      </c>
      <c r="H45" s="3" t="inlineStr">
        <is>
          <t>{}</t>
        </is>
      </c>
    </row>
    <row r="46" ht="68" customHeight="1">
      <c r="A46" s="2" t="inlineStr">
        <is>
          <t>RES-01</t>
        </is>
      </c>
      <c r="B46" s="2" t="inlineStr">
        <is>
          <t>B36/P36/run2</t>
        </is>
      </c>
      <c r="C46" s="2" t="inlineStr"/>
      <c r="D46" s="2" t="inlineStr">
        <is>
          <t>AUTO</t>
        </is>
      </c>
      <c r="E46" s="2" t="b">
        <v>0</v>
      </c>
      <c r="F46" s="2" t="inlineStr">
        <is>
          <t>{"rtl": {"val": "0"}}</t>
        </is>
      </c>
      <c r="G46" s="2" t="inlineStr">
        <is>
          <t>{"rFonts": {"ascii": "Times New Roman", "cs": "Times New Roman", "eastAsia": "Times New Roman", "hAnsi": "Times New Roman"}, "color": {"val": "00ff00"}}</t>
        </is>
      </c>
      <c r="H46" s="2" t="inlineStr">
        <is>
          <t>{}</t>
        </is>
      </c>
    </row>
    <row r="47" ht="68" customHeight="1">
      <c r="A47" s="3" t="inlineStr">
        <is>
          <t>RES-02</t>
        </is>
      </c>
      <c r="B47" s="3" t="inlineStr">
        <is>
          <t>B37/P37/run1</t>
        </is>
      </c>
      <c r="C47" s="3" t="inlineStr">
        <is>
          <t>- [ ] RES-02 — Sách còn bản: thử đặt trước sách đang khả dụng. Kỳ vọng: hệ thống từ chối.</t>
        </is>
      </c>
      <c r="D47" s="16" t="inlineStr">
        <is>
          <t>FF9900</t>
        </is>
      </c>
      <c r="E47" s="3" t="b">
        <v>0</v>
      </c>
      <c r="F47" s="3" t="inlineStr">
        <is>
          <t>{"rFonts": {"ascii": "Times New Roman", "cs": "Times New Roman", "eastAsia": "Times New Roman", "hAnsi": "Times New Roman"}, "color": {"val": "ff9900"}, "rtl": {"val": "0"}}</t>
        </is>
      </c>
      <c r="G47" s="3" t="inlineStr">
        <is>
          <t>{"rFonts": {"ascii": "Times New Roman", "cs": "Times New Roman", "eastAsia": "Times New Roman", "hAnsi": "Times New Roman"}, "color": {"val": "ff9900"}}</t>
        </is>
      </c>
      <c r="H47" s="3" t="inlineStr">
        <is>
          <t>{}</t>
        </is>
      </c>
    </row>
    <row r="48" ht="53" customHeight="1">
      <c r="A48" s="2" t="inlineStr">
        <is>
          <t>RES-02</t>
        </is>
      </c>
      <c r="B48" s="2" t="inlineStr">
        <is>
          <t>B38/P38/run1</t>
        </is>
      </c>
      <c r="C48" s="2" t="inlineStr">
        <is>
          <t>(không có chức năng này)</t>
        </is>
      </c>
      <c r="D48" s="2" t="inlineStr">
        <is>
          <t>AUTO</t>
        </is>
      </c>
      <c r="E48" s="2" t="b">
        <v>0</v>
      </c>
      <c r="F48" s="2" t="inlineStr">
        <is>
          <t>{"rFonts": {"ascii": "Times New Roman", "cs": "Times New Roman", "eastAsia": "Times New Roman", "hAnsi": "Times New Roman"}, "rtl": {"val": "0"}}</t>
        </is>
      </c>
      <c r="G48" s="2" t="inlineStr">
        <is>
          <t>{"rFonts": {"ascii": "Times New Roman", "cs": "Times New Roman", "eastAsia": "Times New Roman", "hAnsi": "Times New Roman"}}</t>
        </is>
      </c>
      <c r="H48" s="2" t="inlineStr">
        <is>
          <t>{}</t>
        </is>
      </c>
    </row>
    <row r="49" ht="68" customHeight="1">
      <c r="A49" s="3" t="inlineStr">
        <is>
          <t>RES-03</t>
        </is>
      </c>
      <c r="B49" s="3" t="inlineStr">
        <is>
          <t>B39/P39/run1</t>
        </is>
      </c>
      <c r="C49" s="3" t="inlineStr">
        <is>
          <t>- [ ] RES-03 — Đặt trùng: cùng User đặt trước cùng đầu sách lần thứ hai. Kỳ vọng: không tạo thêm yêu cầu.</t>
        </is>
      </c>
      <c r="D49" s="14" t="inlineStr">
        <is>
          <t>00FF00</t>
        </is>
      </c>
      <c r="E49" s="3" t="b">
        <v>0</v>
      </c>
      <c r="F49" s="3" t="inlineStr">
        <is>
          <t>{"rFonts": {"ascii": "Times New Roman", "cs": "Times New Roman", "eastAsia": "Times New Roman", "hAnsi": "Times New Roman"}, "color": {"val": "00ff00"}, "rtl": {"val": "0"}}</t>
        </is>
      </c>
      <c r="G49" s="3" t="inlineStr">
        <is>
          <t>{"rFonts": {"ascii": "Times New Roman", "cs": "Times New Roman", "eastAsia": "Times New Roman", "hAnsi": "Times New Roman"}, "color": {"val": "00ff00"}}</t>
        </is>
      </c>
      <c r="H49" s="3" t="inlineStr">
        <is>
          <t>{}</t>
        </is>
      </c>
    </row>
    <row r="50" ht="68" customHeight="1">
      <c r="A50" s="2" t="inlineStr">
        <is>
          <t>RES-03</t>
        </is>
      </c>
      <c r="B50" s="2" t="inlineStr">
        <is>
          <t>B40/P40/run1</t>
        </is>
      </c>
      <c r="C50" s="2" t="inlineStr"/>
      <c r="D50" s="16" t="inlineStr">
        <is>
          <t>FF9900</t>
        </is>
      </c>
      <c r="E50" s="2" t="b">
        <v>0</v>
      </c>
      <c r="F50" s="2" t="inlineStr">
        <is>
          <t>{"rFonts": {"ascii": "Times New Roman", "cs": "Times New Roman", "eastAsia": "Times New Roman", "hAnsi": "Times New Roman"}, "color": {"val": "ff9900"}}</t>
        </is>
      </c>
      <c r="G50" s="2" t="inlineStr">
        <is>
          <t>{"rFonts": {"ascii": "Times New Roman", "cs": "Times New Roman", "eastAsia": "Times New Roman", "hAnsi": "Times New Roman"}, "color": {"val": "ff9900"}}</t>
        </is>
      </c>
      <c r="H50" s="2" t="inlineStr">
        <is>
          <t>{}</t>
        </is>
      </c>
    </row>
    <row r="51" ht="68" customHeight="1">
      <c r="A51" s="3" t="inlineStr">
        <is>
          <t>RES-03</t>
        </is>
      </c>
      <c r="B51" s="3" t="inlineStr">
        <is>
          <t>B40/P40/run2</t>
        </is>
      </c>
      <c r="C51" s="3" t="inlineStr"/>
      <c r="D51" s="3" t="inlineStr">
        <is>
          <t>AUTO</t>
        </is>
      </c>
      <c r="E51" s="3" t="b">
        <v>0</v>
      </c>
      <c r="F51" s="3" t="inlineStr">
        <is>
          <t>{"rtl": {"val": "0"}}</t>
        </is>
      </c>
      <c r="G51" s="3" t="inlineStr">
        <is>
          <t>{"rFonts": {"ascii": "Times New Roman", "cs": "Times New Roman", "eastAsia": "Times New Roman", "hAnsi": "Times New Roman"}, "color": {"val": "ff9900"}}</t>
        </is>
      </c>
      <c r="H51" s="3" t="inlineStr">
        <is>
          <t>{}</t>
        </is>
      </c>
    </row>
    <row r="52" ht="68" customHeight="1">
      <c r="A52" s="2" t="inlineStr">
        <is>
          <t>RES-04</t>
        </is>
      </c>
      <c r="B52" s="2" t="inlineStr">
        <is>
          <t>B41/P41/run1</t>
        </is>
      </c>
      <c r="C52" s="2" t="inlineStr">
        <is>
          <t>- [ ] RES-04 — Xử lý bởi Admin: vào /borrowed?tab=reservations, tìm/lọc yêu cầu, chuyển WAITING → NOTIFIED → FULFILLED. Kỳ vọng: trạng thái cập nhật; khi chuyển sang NOTIFIED, User nhận thông báo.</t>
        </is>
      </c>
      <c r="D52" s="16" t="inlineStr">
        <is>
          <t>FF9900</t>
        </is>
      </c>
      <c r="E52" s="2" t="b">
        <v>0</v>
      </c>
      <c r="F52" s="2" t="inlineStr">
        <is>
          <t>{"rFonts": {"ascii": "Caudex", "cs": "Caudex", "eastAsia": "Caudex", "hAnsi": "Caudex"}, "color": {"val": "ff9900"}, "rtl": {"val": "0"}}</t>
        </is>
      </c>
      <c r="G52" s="2" t="inlineStr">
        <is>
          <t>{"rFonts": {"ascii": "Times New Roman", "cs": "Times New Roman", "eastAsia": "Times New Roman", "hAnsi": "Times New Roman"}, "color": {"val": "ff9900"}}</t>
        </is>
      </c>
      <c r="H52" s="2" t="inlineStr">
        <is>
          <t>{}</t>
        </is>
      </c>
    </row>
    <row r="53" ht="68" customHeight="1">
      <c r="A53" s="3" t="inlineStr">
        <is>
          <t>RES-04</t>
        </is>
      </c>
      <c r="B53" s="3" t="inlineStr">
        <is>
          <t>B42/P42/run1</t>
        </is>
      </c>
      <c r="C53" s="3" t="inlineStr"/>
      <c r="D53" s="16" t="inlineStr">
        <is>
          <t>FF9900</t>
        </is>
      </c>
      <c r="E53" s="3" t="b">
        <v>0</v>
      </c>
      <c r="F53" s="3" t="inlineStr">
        <is>
          <t>{"rFonts": {"ascii": "Times New Roman", "cs": "Times New Roman", "eastAsia": "Times New Roman", "hAnsi": "Times New Roman"}, "color": {"val": "ff9900"}}</t>
        </is>
      </c>
      <c r="G53" s="3" t="inlineStr">
        <is>
          <t>{"rFonts": {"ascii": "Times New Roman", "cs": "Times New Roman", "eastAsia": "Times New Roman", "hAnsi": "Times New Roman"}, "color": {"val": "ff9900"}}</t>
        </is>
      </c>
      <c r="H53" s="3" t="inlineStr">
        <is>
          <t>{}</t>
        </is>
      </c>
    </row>
    <row r="54" ht="68" customHeight="1">
      <c r="A54" s="2" t="inlineStr">
        <is>
          <t>RES-04</t>
        </is>
      </c>
      <c r="B54" s="2" t="inlineStr">
        <is>
          <t>B42/P42/run2</t>
        </is>
      </c>
      <c r="C54" s="2" t="inlineStr"/>
      <c r="D54" s="2" t="inlineStr">
        <is>
          <t>AUTO</t>
        </is>
      </c>
      <c r="E54" s="2" t="b">
        <v>0</v>
      </c>
      <c r="F54" s="2" t="inlineStr">
        <is>
          <t>{"rtl": {"val": "0"}}</t>
        </is>
      </c>
      <c r="G54" s="2" t="inlineStr">
        <is>
          <t>{"rFonts": {"ascii": "Times New Roman", "cs": "Times New Roman", "eastAsia": "Times New Roman", "hAnsi": "Times New Roman"}, "color": {"val": "ff9900"}}</t>
        </is>
      </c>
      <c r="H54" s="2" t="inlineStr">
        <is>
          <t>{}</t>
        </is>
      </c>
    </row>
    <row r="55" ht="68" customHeight="1">
      <c r="A55" s="3" t="inlineStr">
        <is>
          <t>RES-04</t>
        </is>
      </c>
      <c r="B55" s="3" t="inlineStr">
        <is>
          <t>B43/P43/run1</t>
        </is>
      </c>
      <c r="C55" s="15" t="inlineStr">
        <is>
          <t>(sau nhận sách đặt trước nhưng không cập nhật list lịch sử mượn trả của sách đó)</t>
        </is>
      </c>
      <c r="D55" s="3" t="inlineStr">
        <is>
          <t>AUTO</t>
        </is>
      </c>
      <c r="E55" s="3" t="b">
        <v>1</v>
      </c>
      <c r="F55" s="3" t="inlineStr">
        <is>
          <t>{"rFonts": {"ascii": "Times New Roman", "cs": "Times New Roman", "eastAsia": "Times New Roman", "hAnsi": "Times New Roman"}, "i": {"val": "1"}, "iCs": {"val": "1"}, "rtl": {"val": "0"}}</t>
        </is>
      </c>
      <c r="G55" s="3" t="inlineStr">
        <is>
          <t>{"rFonts": {"ascii": "Times New Roman", "cs": "Times New Roman", "eastAsia": "Times New Roman", "hAnsi": "Times New Roman"}, "i": {"val": "1"}, "iCs": {"val": "1"}}</t>
        </is>
      </c>
      <c r="H55" s="3" t="inlineStr">
        <is>
          <t>{}</t>
        </is>
      </c>
    </row>
    <row r="56" ht="68" customHeight="1">
      <c r="A56" s="2" t="inlineStr">
        <is>
          <t>RES-05</t>
        </is>
      </c>
      <c r="B56" s="2" t="inlineStr">
        <is>
          <t>B44/P44/run1</t>
        </is>
      </c>
      <c r="C56" s="2" t="inlineStr">
        <is>
          <t>- [ ] RES-05 — Hủy: User hủy yêu cầu của mình; Admin thử hủy một yêu cầu khác. Kỳ vọng: trạng thái chuyển CANCELLED.</t>
        </is>
      </c>
      <c r="D56" s="14" t="inlineStr">
        <is>
          <t>00FF00</t>
        </is>
      </c>
      <c r="E56" s="2" t="b">
        <v>0</v>
      </c>
      <c r="F56" s="2" t="inlineStr">
        <is>
          <t>{"rFonts": {"ascii": "Times New Roman", "cs": "Times New Roman", "eastAsia": "Times New Roman", "hAnsi": "Times New Roman"}, "color": {"val": "00ff00"}, "rtl": {"val": "0"}}</t>
        </is>
      </c>
      <c r="G56" s="2" t="inlineStr">
        <is>
          <t>{"rFonts": {"ascii": "Times New Roman", "cs": "Times New Roman", "eastAsia": "Times New Roman", "hAnsi": "Times New Roman"}, "color": {"val": "00ff00"}}</t>
        </is>
      </c>
      <c r="H56" s="2" t="inlineStr">
        <is>
          <t>{}</t>
        </is>
      </c>
    </row>
    <row r="57" ht="68" customHeight="1">
      <c r="A57" s="3" t="inlineStr">
        <is>
          <t>RES-05</t>
        </is>
      </c>
      <c r="B57" s="3" t="inlineStr">
        <is>
          <t>B45/P45/run1</t>
        </is>
      </c>
      <c r="C57" s="3" t="inlineStr"/>
      <c r="D57" s="14" t="inlineStr">
        <is>
          <t>00FF00</t>
        </is>
      </c>
      <c r="E57" s="3" t="b">
        <v>0</v>
      </c>
      <c r="F57" s="3" t="inlineStr">
        <is>
          <t>{"rFonts": {"ascii": "Times New Roman", "cs": "Times New Roman", "eastAsia": "Times New Roman", "hAnsi": "Times New Roman"}, "color": {"val": "00ff00"}}</t>
        </is>
      </c>
      <c r="G57" s="3" t="inlineStr">
        <is>
          <t>{"rFonts": {"ascii": "Times New Roman", "cs": "Times New Roman", "eastAsia": "Times New Roman", "hAnsi": "Times New Roman"}, "color": {"val": "00ff00"}}</t>
        </is>
      </c>
      <c r="H57" s="3" t="inlineStr">
        <is>
          <t>{}</t>
        </is>
      </c>
    </row>
    <row r="58" ht="68" customHeight="1">
      <c r="A58" s="2" t="inlineStr">
        <is>
          <t>RES-05</t>
        </is>
      </c>
      <c r="B58" s="2" t="inlineStr">
        <is>
          <t>B45/P45/run2</t>
        </is>
      </c>
      <c r="C58" s="2" t="inlineStr"/>
      <c r="D58" s="2" t="inlineStr">
        <is>
          <t>AUTO</t>
        </is>
      </c>
      <c r="E58" s="2" t="b">
        <v>0</v>
      </c>
      <c r="F58" s="2" t="inlineStr">
        <is>
          <t>{"rtl": {"val": "0"}}</t>
        </is>
      </c>
      <c r="G58" s="2" t="inlineStr">
        <is>
          <t>{"rFonts": {"ascii": "Times New Roman", "cs": "Times New Roman", "eastAsia": "Times New Roman", "hAnsi": "Times New Roman"}, "color": {"val": "00ff00"}}</t>
        </is>
      </c>
      <c r="H58" s="2" t="inlineStr">
        <is>
          <t>{}</t>
        </is>
      </c>
    </row>
    <row r="59" ht="68" customHeight="1">
      <c r="A59" s="3" t="inlineStr">
        <is>
          <t>RES-05</t>
        </is>
      </c>
      <c r="B59" s="3" t="inlineStr">
        <is>
          <t>B46/P46/run1</t>
        </is>
      </c>
      <c r="C59" s="3" t="inlineStr"/>
      <c r="D59" s="3" t="inlineStr">
        <is>
          <t>AUTO</t>
        </is>
      </c>
      <c r="E59" s="3" t="b">
        <v>0</v>
      </c>
      <c r="F59" s="3" t="inlineStr">
        <is>
          <t>{"rtl": {"val": "0"}}</t>
        </is>
      </c>
      <c r="G59" s="3" t="inlineStr">
        <is>
          <t>{"rFonts": {"ascii": "Times New Roman", "cs": "Times New Roman", "eastAsia": "Times New Roman", "hAnsi": "Times New Roman"}, "color": {"val": "00ff00"}}</t>
        </is>
      </c>
      <c r="H59" s="3" t="inlineStr">
        <is>
          <t>{}</t>
        </is>
      </c>
    </row>
    <row r="60" ht="68" customHeight="1">
      <c r="A60" s="2" t="inlineStr">
        <is>
          <t>RES-05</t>
        </is>
      </c>
      <c r="B60" s="2" t="inlineStr">
        <is>
          <t>B47/P47/run1</t>
        </is>
      </c>
      <c r="C60" s="2" t="inlineStr"/>
      <c r="D60" s="2" t="inlineStr">
        <is>
          <t>AUTO</t>
        </is>
      </c>
      <c r="E60" s="2" t="b">
        <v>0</v>
      </c>
      <c r="F60" s="2" t="inlineStr">
        <is>
          <t>{"rtl": {"val": "0"}}</t>
        </is>
      </c>
      <c r="G60" s="2" t="inlineStr">
        <is>
          <t>{"rFonts": {"ascii": "Times New Roman", "cs": "Times New Roman", "eastAsia": "Times New Roman", "hAnsi": "Times New Roman"}, "color": {"val": "00ff00"}}</t>
        </is>
      </c>
      <c r="H60" s="2" t="inlineStr">
        <is>
          <t>{}</t>
        </is>
      </c>
    </row>
    <row r="61" ht="68" customHeight="1">
      <c r="A61" s="3" t="inlineStr">
        <is>
          <t>RES-05</t>
        </is>
      </c>
      <c r="B61" s="3" t="inlineStr">
        <is>
          <t>B48/P48/run1</t>
        </is>
      </c>
      <c r="C61" s="3" t="inlineStr"/>
      <c r="D61" s="3" t="inlineStr">
        <is>
          <t>AUTO</t>
        </is>
      </c>
      <c r="E61" s="3" t="b">
        <v>0</v>
      </c>
      <c r="F61" s="3" t="inlineStr">
        <is>
          <t>{"rtl": {"val": "0"}}</t>
        </is>
      </c>
      <c r="G61" s="3" t="inlineStr">
        <is>
          <t>{"rFonts": {"ascii": "Times New Roman", "cs": "Times New Roman", "eastAsia": "Times New Roman", "hAnsi": "Times New Roman"}, "color": {"val": "00ff00"}}</t>
        </is>
      </c>
      <c r="H61" s="3" t="inlineStr">
        <is>
          <t>{}</t>
        </is>
      </c>
    </row>
    <row r="62" ht="68" customHeight="1">
      <c r="A62" s="2" t="inlineStr">
        <is>
          <t>RES-05</t>
        </is>
      </c>
      <c r="B62" s="2" t="inlineStr">
        <is>
          <t>B49/P49/run1</t>
        </is>
      </c>
      <c r="C62" s="2" t="inlineStr"/>
      <c r="D62" s="2" t="inlineStr">
        <is>
          <t>AUTO</t>
        </is>
      </c>
      <c r="E62" s="2" t="b">
        <v>0</v>
      </c>
      <c r="F62" s="2" t="inlineStr">
        <is>
          <t>{"rtl": {"val": "0"}}</t>
        </is>
      </c>
      <c r="G62" s="2" t="inlineStr">
        <is>
          <t>{"rFonts": {"ascii": "Times New Roman", "cs": "Times New Roman", "eastAsia": "Times New Roman", "hAnsi": "Times New Roman"}, "color": {"val": "00ff00"}}</t>
        </is>
      </c>
      <c r="H62" s="2" t="inlineStr">
        <is>
          <t>{}</t>
        </is>
      </c>
    </row>
    <row r="63" ht="68" customHeight="1">
      <c r="A63" s="3" t="inlineStr">
        <is>
          <t>RES-05</t>
        </is>
      </c>
      <c r="B63" s="3" t="inlineStr">
        <is>
          <t>B50/P50/run1</t>
        </is>
      </c>
      <c r="C63" s="3" t="inlineStr"/>
      <c r="D63" s="3" t="inlineStr">
        <is>
          <t>AUTO</t>
        </is>
      </c>
      <c r="E63" s="3" t="b">
        <v>0</v>
      </c>
      <c r="F63" s="3" t="inlineStr">
        <is>
          <t>{"rtl": {"val": "0"}}</t>
        </is>
      </c>
      <c r="G63" s="3" t="inlineStr">
        <is>
          <t>{"rFonts": {"ascii": "Times New Roman", "cs": "Times New Roman", "eastAsia": "Times New Roman", "hAnsi": "Times New Roman"}, "color": {"val": "00ff00"}}</t>
        </is>
      </c>
      <c r="H63" s="3" t="inlineStr">
        <is>
          <t>{}</t>
        </is>
      </c>
    </row>
    <row r="64" ht="68" customHeight="1">
      <c r="A64" s="2" t="inlineStr">
        <is>
          <t>RES-05</t>
        </is>
      </c>
      <c r="B64" s="2" t="inlineStr">
        <is>
          <t>B51/P51/run1</t>
        </is>
      </c>
      <c r="C64" s="2" t="inlineStr"/>
      <c r="D64" s="2" t="inlineStr">
        <is>
          <t>AUTO</t>
        </is>
      </c>
      <c r="E64" s="2" t="b">
        <v>0</v>
      </c>
      <c r="F64" s="2" t="inlineStr">
        <is>
          <t>{"rtl": {"val": "0"}}</t>
        </is>
      </c>
      <c r="G64" s="2" t="inlineStr">
        <is>
          <t>{"rFonts": {"ascii": "Times New Roman", "cs": "Times New Roman", "eastAsia": "Times New Roman", "hAnsi": "Times New Roman"}, "color": {"val": "00ff00"}}</t>
        </is>
      </c>
      <c r="H64" s="2" t="inlineStr">
        <is>
          <t>{}</t>
        </is>
      </c>
    </row>
    <row r="65" ht="68" customHeight="1">
      <c r="A65" s="3" t="inlineStr">
        <is>
          <t>RES-05</t>
        </is>
      </c>
      <c r="B65" s="3" t="inlineStr">
        <is>
          <t>B52/P52/run1</t>
        </is>
      </c>
      <c r="C65" s="3" t="inlineStr"/>
      <c r="D65" s="3" t="inlineStr">
        <is>
          <t>AUTO</t>
        </is>
      </c>
      <c r="E65" s="3" t="b">
        <v>0</v>
      </c>
      <c r="F65" s="3" t="inlineStr">
        <is>
          <t>{"rtl": {"val": "0"}}</t>
        </is>
      </c>
      <c r="G65" s="3" t="inlineStr">
        <is>
          <t>{"rFonts": {"ascii": "Times New Roman", "cs": "Times New Roman", "eastAsia": "Times New Roman", "hAnsi": "Times New Roman"}, "color": {"val": "00ff00"}}</t>
        </is>
      </c>
      <c r="H65" s="3" t="inlineStr">
        <is>
          <t>{}</t>
        </is>
      </c>
    </row>
    <row r="66" ht="68" customHeight="1">
      <c r="A66" s="2" t="inlineStr">
        <is>
          <t>RES-05</t>
        </is>
      </c>
      <c r="B66" s="2" t="inlineStr">
        <is>
          <t>B53/P53/run1</t>
        </is>
      </c>
      <c r="C66" s="2" t="inlineStr"/>
      <c r="D66" s="2" t="inlineStr">
        <is>
          <t>AUTO</t>
        </is>
      </c>
      <c r="E66" s="2" t="b">
        <v>0</v>
      </c>
      <c r="F66" s="2" t="inlineStr">
        <is>
          <t>{"rtl": {"val": "0"}}</t>
        </is>
      </c>
      <c r="G66" s="2" t="inlineStr">
        <is>
          <t>{"rFonts": {"ascii": "Times New Roman", "cs": "Times New Roman", "eastAsia": "Times New Roman", "hAnsi": "Times New Roman"}, "color": {"val": "00ff00"}}</t>
        </is>
      </c>
      <c r="H66" s="2" t="inlineStr">
        <is>
          <t>{}</t>
        </is>
      </c>
    </row>
    <row r="67" ht="68" customHeight="1">
      <c r="A67" s="3" t="inlineStr">
        <is>
          <t>RES-05</t>
        </is>
      </c>
      <c r="B67" s="3" t="inlineStr">
        <is>
          <t>B54/P54/run1</t>
        </is>
      </c>
      <c r="C67" s="3" t="inlineStr"/>
      <c r="D67" s="3" t="inlineStr">
        <is>
          <t>AUTO</t>
        </is>
      </c>
      <c r="E67" s="3" t="b">
        <v>0</v>
      </c>
      <c r="F67" s="3" t="inlineStr">
        <is>
          <t>{"rtl": {"val": "0"}}</t>
        </is>
      </c>
      <c r="G67" s="3" t="inlineStr">
        <is>
          <t>{"rFonts": {"ascii": "Times New Roman", "cs": "Times New Roman", "eastAsia": "Times New Roman", "hAnsi": "Times New Roman"}, "color": {"val": "00ff00"}}</t>
        </is>
      </c>
      <c r="H67" s="3" t="inlineStr">
        <is>
          <t>{}</t>
        </is>
      </c>
    </row>
    <row r="68" ht="68" customHeight="1">
      <c r="A68" s="2" t="inlineStr">
        <is>
          <t>RES-05</t>
        </is>
      </c>
      <c r="B68" s="2" t="inlineStr">
        <is>
          <t>B55/P55/run1</t>
        </is>
      </c>
      <c r="C68" s="2" t="inlineStr"/>
      <c r="D68" s="2" t="inlineStr">
        <is>
          <t>AUTO</t>
        </is>
      </c>
      <c r="E68" s="2" t="b">
        <v>0</v>
      </c>
      <c r="F68" s="2" t="inlineStr">
        <is>
          <t>{"rtl": {"val": "0"}}</t>
        </is>
      </c>
      <c r="G68" s="2" t="inlineStr">
        <is>
          <t>{"rFonts": {"ascii": "Times New Roman", "cs": "Times New Roman", "eastAsia": "Times New Roman", "hAnsi": "Times New Roman"}, "color": {"val": "00ff00"}}</t>
        </is>
      </c>
      <c r="H68" s="2" t="inlineStr">
        <is>
          <t>{}</t>
        </is>
      </c>
    </row>
    <row r="69" ht="68" customHeight="1">
      <c r="A69" s="3" t="inlineStr">
        <is>
          <t>RES-05</t>
        </is>
      </c>
      <c r="B69" s="3" t="inlineStr">
        <is>
          <t>B56/P56/run1</t>
        </is>
      </c>
      <c r="C69" s="3" t="inlineStr"/>
      <c r="D69" s="3" t="inlineStr">
        <is>
          <t>AUTO</t>
        </is>
      </c>
      <c r="E69" s="3" t="b">
        <v>0</v>
      </c>
      <c r="F69" s="3" t="inlineStr">
        <is>
          <t>{"rtl": {"val": "0"}}</t>
        </is>
      </c>
      <c r="G69" s="3" t="inlineStr">
        <is>
          <t>{"rFonts": {"ascii": "Times New Roman", "cs": "Times New Roman", "eastAsia": "Times New Roman", "hAnsi": "Times New Roman"}, "color": {"val": "00ff00"}}</t>
        </is>
      </c>
      <c r="H69" s="3" t="inlineStr">
        <is>
          <t>{}</t>
        </is>
      </c>
    </row>
    <row r="70" ht="53" customHeight="1">
      <c r="A70" s="2" t="inlineStr"/>
      <c r="B70" s="2" t="inlineStr">
        <is>
          <t>B57/P57/run1</t>
        </is>
      </c>
      <c r="C70" s="2" t="inlineStr">
        <is>
          <t>5. Thành viên</t>
        </is>
      </c>
      <c r="D70" s="2" t="inlineStr">
        <is>
          <t>AUTO</t>
        </is>
      </c>
      <c r="E70" s="2" t="b">
        <v>0</v>
      </c>
      <c r="F70" s="2" t="inlineStr">
        <is>
          <t>{"rFonts": {"ascii": "Times New Roman", "cs": "Times New Roman", "eastAsia": "Times New Roman", "hAnsi": "Times New Roman"}, "rtl": {"val": "0"}}</t>
        </is>
      </c>
      <c r="G70" s="2" t="inlineStr">
        <is>
          <t>{"rFonts": {"ascii": "Times New Roman", "cs": "Times New Roman", "eastAsia": "Times New Roman", "hAnsi": "Times New Roman"}}</t>
        </is>
      </c>
      <c r="H70" s="2" t="inlineStr">
        <is>
          <t>{}</t>
        </is>
      </c>
    </row>
    <row r="71" ht="68" customHeight="1">
      <c r="A71" s="3" t="inlineStr">
        <is>
          <t>MEM-01</t>
        </is>
      </c>
      <c r="B71" s="3" t="inlineStr">
        <is>
          <t>B58/P58/run1</t>
        </is>
      </c>
      <c r="C71" s="3" t="inlineStr">
        <is>
          <t>- [ ] MEM-01 — Danh sách: Admin tìm theo tên/email, lọc Đang hoạt động/Danh sách đen. Kỳ vọng: kết quả và số lượng hiển thị khớp.</t>
        </is>
      </c>
      <c r="D71" s="14" t="inlineStr">
        <is>
          <t>00FF00</t>
        </is>
      </c>
      <c r="E71" s="3" t="b">
        <v>0</v>
      </c>
      <c r="F71" s="3" t="inlineStr">
        <is>
          <t>{"rFonts": {"ascii": "Times New Roman", "cs": "Times New Roman", "eastAsia": "Times New Roman", "hAnsi": "Times New Roman"}, "color": {"val": "00ff00"}, "rtl": {"val": "0"}}</t>
        </is>
      </c>
      <c r="G71" s="3" t="inlineStr">
        <is>
          <t>{"rFonts": {"ascii": "Times New Roman", "cs": "Times New Roman", "eastAsia": "Times New Roman", "hAnsi": "Times New Roman"}, "color": {"val": "00ff00"}}</t>
        </is>
      </c>
      <c r="H71" s="3" t="inlineStr">
        <is>
          <t>{}</t>
        </is>
      </c>
    </row>
    <row r="72" ht="68" customHeight="1">
      <c r="A72" s="2" t="inlineStr">
        <is>
          <t>MEM-01</t>
        </is>
      </c>
      <c r="B72" s="2" t="inlineStr">
        <is>
          <t>B59/P59/run1</t>
        </is>
      </c>
      <c r="C72" s="2" t="inlineStr"/>
      <c r="D72" s="18" t="inlineStr">
        <is>
          <t>FF0000</t>
        </is>
      </c>
      <c r="E72" s="2" t="b">
        <v>0</v>
      </c>
      <c r="F72" s="2" t="inlineStr">
        <is>
          <t>{"rFonts": {"ascii": "Times New Roman", "cs": "Times New Roman", "eastAsia": "Times New Roman", "hAnsi": "Times New Roman"}, "color": {"val": "ff0000"}}</t>
        </is>
      </c>
      <c r="G72" s="2" t="inlineStr">
        <is>
          <t>{"rFonts": {"ascii": "Times New Roman", "cs": "Times New Roman", "eastAsia": "Times New Roman", "hAnsi": "Times New Roman"}, "color": {"val": "ff0000"}}</t>
        </is>
      </c>
      <c r="H72" s="2" t="inlineStr">
        <is>
          <t>{}</t>
        </is>
      </c>
    </row>
    <row r="73" ht="68" customHeight="1">
      <c r="A73" s="3" t="inlineStr">
        <is>
          <t>MEM-01</t>
        </is>
      </c>
      <c r="B73" s="3" t="inlineStr">
        <is>
          <t>B59/P59/run2</t>
        </is>
      </c>
      <c r="C73" s="3" t="inlineStr"/>
      <c r="D73" s="3" t="inlineStr">
        <is>
          <t>AUTO</t>
        </is>
      </c>
      <c r="E73" s="3" t="b">
        <v>0</v>
      </c>
      <c r="F73" s="3" t="inlineStr">
        <is>
          <t>{"rtl": {"val": "0"}}</t>
        </is>
      </c>
      <c r="G73" s="3" t="inlineStr">
        <is>
          <t>{"rFonts": {"ascii": "Times New Roman", "cs": "Times New Roman", "eastAsia": "Times New Roman", "hAnsi": "Times New Roman"}, "color": {"val": "ff0000"}}</t>
        </is>
      </c>
      <c r="H73" s="3" t="inlineStr">
        <is>
          <t>{}</t>
        </is>
      </c>
    </row>
    <row r="74" ht="68" customHeight="1">
      <c r="A74" s="2" t="inlineStr">
        <is>
          <t>MEM-01</t>
        </is>
      </c>
      <c r="B74" s="2" t="inlineStr">
        <is>
          <t>B60/P60/run1</t>
        </is>
      </c>
      <c r="C74" s="2" t="inlineStr"/>
      <c r="D74" s="2" t="inlineStr">
        <is>
          <t>AUTO</t>
        </is>
      </c>
      <c r="E74" s="2" t="b">
        <v>0</v>
      </c>
      <c r="F74" s="2" t="inlineStr">
        <is>
          <t>{"rtl": {"val": "0"}}</t>
        </is>
      </c>
      <c r="G74" s="2" t="inlineStr">
        <is>
          <t>{"rFonts": {"ascii": "Times New Roman", "cs": "Times New Roman", "eastAsia": "Times New Roman", "hAnsi": "Times New Roman"}, "color": {"val": "ff0000"}}</t>
        </is>
      </c>
      <c r="H74" s="2" t="inlineStr">
        <is>
          <t>{}</t>
        </is>
      </c>
    </row>
    <row r="75" ht="68" customHeight="1">
      <c r="A75" s="3" t="inlineStr">
        <is>
          <t>MEM-01</t>
        </is>
      </c>
      <c r="B75" s="3" t="inlineStr">
        <is>
          <t>B61/P61/run1</t>
        </is>
      </c>
      <c r="C75" s="3" t="inlineStr"/>
      <c r="D75" s="3" t="inlineStr">
        <is>
          <t>AUTO</t>
        </is>
      </c>
      <c r="E75" s="3" t="b">
        <v>0</v>
      </c>
      <c r="F75" s="3" t="inlineStr">
        <is>
          <t>{"rtl": {"val": "0"}}</t>
        </is>
      </c>
      <c r="G75" s="3" t="inlineStr">
        <is>
          <t>{"rFonts": {"ascii": "Times New Roman", "cs": "Times New Roman", "eastAsia": "Times New Roman", "hAnsi": "Times New Roman"}, "color": {"val": "ff0000"}}</t>
        </is>
      </c>
      <c r="H75" s="3" t="inlineStr">
        <is>
          <t>{}</t>
        </is>
      </c>
    </row>
    <row r="76" ht="68" customHeight="1">
      <c r="A76" s="2" t="inlineStr">
        <is>
          <t>MEM-02</t>
        </is>
      </c>
      <c r="B76" s="2" t="inlineStr">
        <is>
          <t>B62/P62/run1</t>
        </is>
      </c>
      <c r="C76" s="2" t="inlineStr">
        <is>
          <t>- [ ] MEM-02 — Thêm thành viên: tạo một tài khoản thử. Kỳ vọng: tài khoản xuất hiện trong danh sách và đăng nhập được.</t>
        </is>
      </c>
      <c r="D76" s="18" t="inlineStr">
        <is>
          <t>FF0000</t>
        </is>
      </c>
      <c r="E76" s="2" t="b">
        <v>0</v>
      </c>
      <c r="F76" s="2" t="inlineStr">
        <is>
          <t>{"rFonts": {"ascii": "Times New Roman", "cs": "Times New Roman", "eastAsia": "Times New Roman", "hAnsi": "Times New Roman"}, "color": {"val": "ff0000"}, "rtl": {"val": "0"}}</t>
        </is>
      </c>
      <c r="G76" s="2" t="inlineStr">
        <is>
          <t>{"rFonts": {"ascii": "Times New Roman", "cs": "Times New Roman", "eastAsia": "Times New Roman", "hAnsi": "Times New Roman"}, "color": {"val": "ff0000"}}</t>
        </is>
      </c>
      <c r="H76" s="2" t="inlineStr">
        <is>
          <t>{}</t>
        </is>
      </c>
    </row>
    <row r="77" ht="68" customHeight="1">
      <c r="A77" s="3" t="inlineStr">
        <is>
          <t>MEM-02</t>
        </is>
      </c>
      <c r="B77" s="3" t="inlineStr">
        <is>
          <t>B63/P63/run1</t>
        </is>
      </c>
      <c r="C77" s="3" t="inlineStr"/>
      <c r="D77" s="18" t="inlineStr">
        <is>
          <t>FF0000</t>
        </is>
      </c>
      <c r="E77" s="3" t="b">
        <v>0</v>
      </c>
      <c r="F77" s="3" t="inlineStr">
        <is>
          <t>{"rFonts": {"ascii": "Times New Roman", "cs": "Times New Roman", "eastAsia": "Times New Roman", "hAnsi": "Times New Roman"}, "color": {"val": "ff0000"}}</t>
        </is>
      </c>
      <c r="G77" s="3" t="inlineStr">
        <is>
          <t>{"rFonts": {"ascii": "Times New Roman", "cs": "Times New Roman", "eastAsia": "Times New Roman", "hAnsi": "Times New Roman"}, "color": {"val": "ff0000"}}</t>
        </is>
      </c>
      <c r="H77" s="3" t="inlineStr">
        <is>
          <t>{}</t>
        </is>
      </c>
    </row>
    <row r="78" ht="68" customHeight="1">
      <c r="A78" s="2" t="inlineStr">
        <is>
          <t>MEM-02</t>
        </is>
      </c>
      <c r="B78" s="2" t="inlineStr">
        <is>
          <t>B63/P63/run2</t>
        </is>
      </c>
      <c r="C78" s="2" t="inlineStr"/>
      <c r="D78" s="2" t="inlineStr">
        <is>
          <t>AUTO</t>
        </is>
      </c>
      <c r="E78" s="2" t="b">
        <v>0</v>
      </c>
      <c r="F78" s="2" t="inlineStr">
        <is>
          <t>{"rtl": {"val": "0"}}</t>
        </is>
      </c>
      <c r="G78" s="2" t="inlineStr">
        <is>
          <t>{"rFonts": {"ascii": "Times New Roman", "cs": "Times New Roman", "eastAsia": "Times New Roman", "hAnsi": "Times New Roman"}, "color": {"val": "ff0000"}}</t>
        </is>
      </c>
      <c r="H78" s="2" t="inlineStr">
        <is>
          <t>{}</t>
        </is>
      </c>
    </row>
    <row r="79" ht="68" customHeight="1">
      <c r="A79" s="3" t="inlineStr">
        <is>
          <t>MEM-02</t>
        </is>
      </c>
      <c r="B79" s="3" t="inlineStr">
        <is>
          <t>B64/P64/run1</t>
        </is>
      </c>
      <c r="C79" s="15" t="inlineStr">
        <is>
          <t xml:space="preserve">(không có dấu * thể hiện các trường thông tin phải nhập, email nhập sai định dạng: không có @, vẫn có thể tạo thành viên được nhưng không đăng nhập được) </t>
        </is>
      </c>
      <c r="D79" s="3" t="inlineStr">
        <is>
          <t>AUTO</t>
        </is>
      </c>
      <c r="E79" s="3" t="b">
        <v>1</v>
      </c>
      <c r="F79" s="3" t="inlineStr">
        <is>
          <t>{"rFonts": {"ascii": "Times New Roman", "cs": "Times New Roman", "eastAsia": "Times New Roman", "hAnsi": "Times New Roman"}, "i": {"val": "1"}, "iCs": {"val": "1"}, "rtl": {"val": "0"}}</t>
        </is>
      </c>
      <c r="G79" s="3" t="inlineStr">
        <is>
          <t>{"rFonts": {"ascii": "Times New Roman", "cs": "Times New Roman", "eastAsia": "Times New Roman", "hAnsi": "Times New Roman"}, "i": {"val": "1"}, "iCs": {"val": "1"}}</t>
        </is>
      </c>
      <c r="H79" s="3" t="inlineStr">
        <is>
          <t>{}</t>
        </is>
      </c>
    </row>
    <row r="80" ht="68" customHeight="1">
      <c r="A80" s="2" t="inlineStr">
        <is>
          <t>MEM-02</t>
        </is>
      </c>
      <c r="B80" s="2" t="inlineStr">
        <is>
          <t>B65/P65/run1</t>
        </is>
      </c>
      <c r="C80" s="2" t="inlineStr"/>
      <c r="D80" s="2" t="inlineStr">
        <is>
          <t>AUTO</t>
        </is>
      </c>
      <c r="E80" s="2" t="b">
        <v>0</v>
      </c>
      <c r="F80" s="2" t="inlineStr">
        <is>
          <t>{"rtl": {"val": "0"}}</t>
        </is>
      </c>
      <c r="G80" s="2" t="inlineStr">
        <is>
          <t>{"rFonts": {"ascii": "Times New Roman", "cs": "Times New Roman", "eastAsia": "Times New Roman", "hAnsi": "Times New Roman"}, "i": {"val": "1"}, "iCs": {"val": "1"}}</t>
        </is>
      </c>
      <c r="H80" s="2" t="inlineStr">
        <is>
          <t>{}</t>
        </is>
      </c>
    </row>
    <row r="81" ht="68" customHeight="1">
      <c r="A81" s="3" t="inlineStr">
        <is>
          <t>MEM-02</t>
        </is>
      </c>
      <c r="B81" s="3" t="inlineStr">
        <is>
          <t>B66/P66/run1</t>
        </is>
      </c>
      <c r="C81" s="3" t="inlineStr"/>
      <c r="D81" s="3" t="inlineStr">
        <is>
          <t>AUTO</t>
        </is>
      </c>
      <c r="E81" s="3" t="b">
        <v>0</v>
      </c>
      <c r="F81" s="3" t="inlineStr">
        <is>
          <t>{"rtl": {"val": "0"}}</t>
        </is>
      </c>
      <c r="G81" s="3" t="inlineStr">
        <is>
          <t>{"rFonts": {"ascii": "Times New Roman", "cs": "Times New Roman", "eastAsia": "Times New Roman", "hAnsi": "Times New Roman"}, "i": {"val": "1"}, "iCs": {"val": "1"}}</t>
        </is>
      </c>
      <c r="H81" s="3" t="inlineStr">
        <is>
          <t>{}</t>
        </is>
      </c>
    </row>
    <row r="82" ht="68" customHeight="1">
      <c r="A82" s="2" t="inlineStr">
        <is>
          <t>MEM-02</t>
        </is>
      </c>
      <c r="B82" s="2" t="inlineStr">
        <is>
          <t>B67/P67/run1</t>
        </is>
      </c>
      <c r="C82" s="2" t="inlineStr"/>
      <c r="D82" s="2" t="inlineStr">
        <is>
          <t>AUTO</t>
        </is>
      </c>
      <c r="E82" s="2" t="b">
        <v>0</v>
      </c>
      <c r="F82" s="2" t="inlineStr">
        <is>
          <t>{"rtl": {"val": "0"}}</t>
        </is>
      </c>
      <c r="G82" s="2" t="inlineStr">
        <is>
          <t>{"rFonts": {"ascii": "Times New Roman", "cs": "Times New Roman", "eastAsia": "Times New Roman", "hAnsi": "Times New Roman"}, "i": {"val": "1"}, "iCs": {"val": "1"}}</t>
        </is>
      </c>
      <c r="H82" s="2" t="inlineStr">
        <is>
          <t>{}</t>
        </is>
      </c>
    </row>
    <row r="83" ht="68" customHeight="1">
      <c r="A83" s="3" t="inlineStr">
        <is>
          <t>MEM-02</t>
        </is>
      </c>
      <c r="B83" s="3" t="inlineStr">
        <is>
          <t>B68/P68/run1</t>
        </is>
      </c>
      <c r="C83" s="3" t="inlineStr"/>
      <c r="D83" s="3" t="inlineStr">
        <is>
          <t>AUTO</t>
        </is>
      </c>
      <c r="E83" s="3" t="b">
        <v>0</v>
      </c>
      <c r="F83" s="3" t="inlineStr">
        <is>
          <t>{"rtl": {"val": "0"}}</t>
        </is>
      </c>
      <c r="G83" s="3" t="inlineStr">
        <is>
          <t>{"rFonts": {"ascii": "Times New Roman", "cs": "Times New Roman", "eastAsia": "Times New Roman", "hAnsi": "Times New Roman"}, "i": {"val": "1"}, "iCs": {"val": "1"}}</t>
        </is>
      </c>
      <c r="H83" s="3" t="inlineStr">
        <is>
          <t>{}</t>
        </is>
      </c>
    </row>
    <row r="84" ht="68" customHeight="1">
      <c r="A84" s="2" t="inlineStr">
        <is>
          <t>MEM-02</t>
        </is>
      </c>
      <c r="B84" s="2" t="inlineStr">
        <is>
          <t>B69/P69/run1</t>
        </is>
      </c>
      <c r="C84" s="2" t="inlineStr"/>
      <c r="D84" s="2" t="inlineStr">
        <is>
          <t>AUTO</t>
        </is>
      </c>
      <c r="E84" s="2" t="b">
        <v>0</v>
      </c>
      <c r="F84" s="2" t="inlineStr">
        <is>
          <t>{"rtl": {"val": "0"}}</t>
        </is>
      </c>
      <c r="G84" s="2" t="inlineStr">
        <is>
          <t>{"rFonts": {"ascii": "Times New Roman", "cs": "Times New Roman", "eastAsia": "Times New Roman", "hAnsi": "Times New Roman"}, "i": {"val": "1"}, "iCs": {"val": "1"}}</t>
        </is>
      </c>
      <c r="H84" s="2" t="inlineStr">
        <is>
          <t>{}</t>
        </is>
      </c>
    </row>
    <row r="85" ht="68" customHeight="1">
      <c r="A85" s="3" t="inlineStr">
        <is>
          <t>MEM-03</t>
        </is>
      </c>
      <c r="B85" s="3" t="inlineStr">
        <is>
          <t>B70/P70/run1</t>
        </is>
      </c>
      <c r="C85" s="3" t="inlineStr">
        <is>
          <t>- [ ] MEM-03 — Email trùng: thêm lại email đã tồn tại. Kỳ vọng: bị từ chối, danh sách không có hai tài khoản cùng email.</t>
        </is>
      </c>
      <c r="D85" s="14" t="inlineStr">
        <is>
          <t>00FF00</t>
        </is>
      </c>
      <c r="E85" s="3" t="b">
        <v>0</v>
      </c>
      <c r="F85" s="3" t="inlineStr">
        <is>
          <t>{"rFonts": {"ascii": "Times New Roman", "cs": "Times New Roman", "eastAsia": "Times New Roman", "hAnsi": "Times New Roman"}, "color": {"val": "00ff00"}, "rtl": {"val": "0"}}</t>
        </is>
      </c>
      <c r="G85" s="3" t="inlineStr">
        <is>
          <t>{"rFonts": {"ascii": "Times New Roman", "cs": "Times New Roman", "eastAsia": "Times New Roman", "hAnsi": "Times New Roman"}, "color": {"val": "00ff00"}}</t>
        </is>
      </c>
      <c r="H85" s="3" t="inlineStr">
        <is>
          <t>{}</t>
        </is>
      </c>
    </row>
    <row r="86" ht="68" customHeight="1">
      <c r="A86" s="2" t="inlineStr">
        <is>
          <t>MEM-03</t>
        </is>
      </c>
      <c r="B86" s="2" t="inlineStr">
        <is>
          <t>B71/P71/run1</t>
        </is>
      </c>
      <c r="C86" s="2" t="inlineStr"/>
      <c r="D86" s="14" t="inlineStr">
        <is>
          <t>00FF00</t>
        </is>
      </c>
      <c r="E86" s="2" t="b">
        <v>0</v>
      </c>
      <c r="F86" s="2" t="inlineStr">
        <is>
          <t>{"rFonts": {"ascii": "Times New Roman", "cs": "Times New Roman", "eastAsia": "Times New Roman", "hAnsi": "Times New Roman"}, "color": {"val": "00ff00"}}</t>
        </is>
      </c>
      <c r="G86" s="2" t="inlineStr">
        <is>
          <t>{"rFonts": {"ascii": "Times New Roman", "cs": "Times New Roman", "eastAsia": "Times New Roman", "hAnsi": "Times New Roman"}, "color": {"val": "00ff00"}}</t>
        </is>
      </c>
      <c r="H86" s="2" t="inlineStr">
        <is>
          <t>{}</t>
        </is>
      </c>
    </row>
    <row r="87" ht="68" customHeight="1">
      <c r="A87" s="3" t="inlineStr">
        <is>
          <t>MEM-03</t>
        </is>
      </c>
      <c r="B87" s="3" t="inlineStr">
        <is>
          <t>B71/P71/run2</t>
        </is>
      </c>
      <c r="C87" s="3" t="inlineStr"/>
      <c r="D87" s="3" t="inlineStr">
        <is>
          <t>AUTO</t>
        </is>
      </c>
      <c r="E87" s="3" t="b">
        <v>0</v>
      </c>
      <c r="F87" s="3" t="inlineStr">
        <is>
          <t>{"rtl": {"val": "0"}}</t>
        </is>
      </c>
      <c r="G87" s="3" t="inlineStr">
        <is>
          <t>{"rFonts": {"ascii": "Times New Roman", "cs": "Times New Roman", "eastAsia": "Times New Roman", "hAnsi": "Times New Roman"}, "color": {"val": "00ff00"}}</t>
        </is>
      </c>
      <c r="H87" s="3" t="inlineStr">
        <is>
          <t>{}</t>
        </is>
      </c>
    </row>
    <row r="88" ht="68" customHeight="1">
      <c r="A88" s="2" t="inlineStr">
        <is>
          <t>MEM-03</t>
        </is>
      </c>
      <c r="B88" s="2" t="inlineStr">
        <is>
          <t>B72/P72/run1</t>
        </is>
      </c>
      <c r="C88" s="2" t="inlineStr"/>
      <c r="D88" s="2" t="inlineStr">
        <is>
          <t>AUTO</t>
        </is>
      </c>
      <c r="E88" s="2" t="b">
        <v>0</v>
      </c>
      <c r="F88" s="2" t="inlineStr">
        <is>
          <t>{"rtl": {"val": "0"}}</t>
        </is>
      </c>
      <c r="G88" s="2" t="inlineStr">
        <is>
          <t>{"rFonts": {"ascii": "Times New Roman", "cs": "Times New Roman", "eastAsia": "Times New Roman", "hAnsi": "Times New Roman"}, "color": {"val": "00ff00"}}</t>
        </is>
      </c>
      <c r="H88" s="2" t="inlineStr">
        <is>
          <t>{}</t>
        </is>
      </c>
    </row>
    <row r="89" ht="68" customHeight="1">
      <c r="A89" s="3" t="inlineStr">
        <is>
          <t>MEM-04</t>
        </is>
      </c>
      <c r="B89" s="3" t="inlineStr">
        <is>
          <t>B73/P73/run1</t>
        </is>
      </c>
      <c r="C89" s="3" t="inlineStr">
        <is>
          <t>- [ ] MEM-04 — Blacklist: đưa tài khoản thử vào danh sách đen rồi gỡ ra. Kỳ vọng: trạng thái và bộ lọc cập nhật đúng. Phần “bị chặn mượn” có thể để đồng đội kiểm thử mượn sách xác nhận.</t>
        </is>
      </c>
      <c r="D89" s="16" t="inlineStr">
        <is>
          <t>FF9900</t>
        </is>
      </c>
      <c r="E89" s="3" t="b">
        <v>0</v>
      </c>
      <c r="F89" s="3" t="inlineStr">
        <is>
          <t>{"rFonts": {"ascii": "Times New Roman", "cs": "Times New Roman", "eastAsia": "Times New Roman", "hAnsi": "Times New Roman"}, "color": {"val": "ff9900"}, "rtl": {"val": "0"}}</t>
        </is>
      </c>
      <c r="G89" s="3" t="inlineStr">
        <is>
          <t>{"rFonts": {"ascii": "Times New Roman", "cs": "Times New Roman", "eastAsia": "Times New Roman", "hAnsi": "Times New Roman"}, "color": {"val": "ff9900"}}</t>
        </is>
      </c>
      <c r="H89" s="3" t="inlineStr">
        <is>
          <t>{}</t>
        </is>
      </c>
    </row>
    <row r="90" ht="68" customHeight="1">
      <c r="A90" s="2" t="inlineStr">
        <is>
          <t>MEM-04</t>
        </is>
      </c>
      <c r="B90" s="2" t="inlineStr">
        <is>
          <t>B74/P74/run1</t>
        </is>
      </c>
      <c r="C90" s="2" t="inlineStr"/>
      <c r="D90" s="16" t="inlineStr">
        <is>
          <t>FF9900</t>
        </is>
      </c>
      <c r="E90" s="2" t="b">
        <v>0</v>
      </c>
      <c r="F90" s="2" t="inlineStr">
        <is>
          <t>{"rFonts": {"ascii": "Times New Roman", "cs": "Times New Roman", "eastAsia": "Times New Roman", "hAnsi": "Times New Roman"}, "color": {"val": "ff9900"}}</t>
        </is>
      </c>
      <c r="G90" s="2" t="inlineStr">
        <is>
          <t>{"rFonts": {"ascii": "Times New Roman", "cs": "Times New Roman", "eastAsia": "Times New Roman", "hAnsi": "Times New Roman"}, "color": {"val": "ff9900"}}</t>
        </is>
      </c>
      <c r="H90" s="2" t="inlineStr">
        <is>
          <t>{}</t>
        </is>
      </c>
    </row>
    <row r="91" ht="68" customHeight="1">
      <c r="A91" s="3" t="inlineStr">
        <is>
          <t>MEM-04</t>
        </is>
      </c>
      <c r="B91" s="3" t="inlineStr">
        <is>
          <t>B74/P74/run2</t>
        </is>
      </c>
      <c r="C91" s="3" t="inlineStr"/>
      <c r="D91" s="3" t="inlineStr">
        <is>
          <t>AUTO</t>
        </is>
      </c>
      <c r="E91" s="3" t="b">
        <v>0</v>
      </c>
      <c r="F91" s="3" t="inlineStr">
        <is>
          <t>{"rtl": {"val": "0"}}</t>
        </is>
      </c>
      <c r="G91" s="3" t="inlineStr">
        <is>
          <t>{"rFonts": {"ascii": "Times New Roman", "cs": "Times New Roman", "eastAsia": "Times New Roman", "hAnsi": "Times New Roman"}, "color": {"val": "ff9900"}}</t>
        </is>
      </c>
      <c r="H91" s="3" t="inlineStr">
        <is>
          <t>{}</t>
        </is>
      </c>
    </row>
    <row r="92" ht="68" customHeight="1">
      <c r="A92" s="2" t="inlineStr">
        <is>
          <t>MEM-04</t>
        </is>
      </c>
      <c r="B92" s="2" t="inlineStr">
        <is>
          <t>B75/P75/run1</t>
        </is>
      </c>
      <c r="C92" s="17" t="inlineStr">
        <is>
          <t xml:space="preserve">(bị chặn nhưng không có mục nào để user có thể liên hệ admin để yêu cầu hủy chặn) </t>
        </is>
      </c>
      <c r="D92" s="2" t="inlineStr">
        <is>
          <t>AUTO</t>
        </is>
      </c>
      <c r="E92" s="2" t="b">
        <v>1</v>
      </c>
      <c r="F92" s="2" t="inlineStr">
        <is>
          <t>{"rFonts": {"ascii": "Times New Roman", "cs": "Times New Roman", "eastAsia": "Times New Roman", "hAnsi": "Times New Roman"}, "i": {"val": "1"}, "iCs": {"val": "1"}, "rtl": {"val": "0"}}</t>
        </is>
      </c>
      <c r="G92" s="2" t="inlineStr">
        <is>
          <t>{"rFonts": {"ascii": "Times New Roman", "cs": "Times New Roman", "eastAsia": "Times New Roman", "hAnsi": "Times New Roman"}, "i": {"val": "1"}, "iCs": {"val": "1"}}</t>
        </is>
      </c>
      <c r="H92" s="2" t="inlineStr">
        <is>
          <t>{}</t>
        </is>
      </c>
    </row>
    <row r="93" ht="68" customHeight="1">
      <c r="A93" s="3" t="inlineStr">
        <is>
          <t>MEM-04</t>
        </is>
      </c>
      <c r="B93" s="3" t="inlineStr">
        <is>
          <t>B76/P76/run1</t>
        </is>
      </c>
      <c r="C93" s="3" t="inlineStr"/>
      <c r="D93" s="3" t="inlineStr">
        <is>
          <t>AUTO</t>
        </is>
      </c>
      <c r="E93" s="3" t="b">
        <v>0</v>
      </c>
      <c r="F93" s="3" t="inlineStr">
        <is>
          <t>{"rtl": {"val": "0"}}</t>
        </is>
      </c>
      <c r="G93" s="3" t="inlineStr">
        <is>
          <t>{"rFonts": {"ascii": "Times New Roman", "cs": "Times New Roman", "eastAsia": "Times New Roman", "hAnsi": "Times New Roman"}, "i": {"val": "1"}, "iCs": {"val": "1"}, "u": {"val": "single"}}</t>
        </is>
      </c>
      <c r="H93" s="3" t="inlineStr">
        <is>
          <t>{}</t>
        </is>
      </c>
    </row>
    <row r="94" ht="68" customHeight="1">
      <c r="A94" s="2" t="inlineStr">
        <is>
          <t>MEM-04</t>
        </is>
      </c>
      <c r="B94" s="2" t="inlineStr">
        <is>
          <t>B77/P77/run1</t>
        </is>
      </c>
      <c r="C94" s="2" t="inlineStr"/>
      <c r="D94" s="2" t="inlineStr">
        <is>
          <t>AUTO</t>
        </is>
      </c>
      <c r="E94" s="2" t="b">
        <v>0</v>
      </c>
      <c r="F94" s="2" t="inlineStr">
        <is>
          <t>{"rtl": {"val": "0"}}</t>
        </is>
      </c>
      <c r="G94" s="2" t="inlineStr">
        <is>
          <t>{"rFonts": {"ascii": "Times New Roman", "cs": "Times New Roman", "eastAsia": "Times New Roman", "hAnsi": "Times New Roman"}, "i": {"val": "1"}, "iCs": {"val": "1"}, "u": {"val": "single"}}</t>
        </is>
      </c>
      <c r="H94" s="2" t="inlineStr">
        <is>
          <t>{}</t>
        </is>
      </c>
    </row>
    <row r="95" ht="68" customHeight="1">
      <c r="A95" s="3" t="inlineStr">
        <is>
          <t>MEM-04</t>
        </is>
      </c>
      <c r="B95" s="3" t="inlineStr">
        <is>
          <t>B78/P78/run1</t>
        </is>
      </c>
      <c r="C95" s="3" t="inlineStr"/>
      <c r="D95" s="3" t="inlineStr">
        <is>
          <t>AUTO</t>
        </is>
      </c>
      <c r="E95" s="3" t="b">
        <v>0</v>
      </c>
      <c r="F95" s="3" t="inlineStr">
        <is>
          <t>{"rtl": {"val": "0"}}</t>
        </is>
      </c>
      <c r="G95" s="3" t="inlineStr">
        <is>
          <t>{"rFonts": {"ascii": "Times New Roman", "cs": "Times New Roman", "eastAsia": "Times New Roman", "hAnsi": "Times New Roman"}, "i": {"val": "1"}, "iCs": {"val": "1"}, "u": {"val": "single"}}</t>
        </is>
      </c>
      <c r="H95" s="3" t="inlineStr">
        <is>
          <t>{}</t>
        </is>
      </c>
    </row>
    <row r="96" ht="68" customHeight="1">
      <c r="A96" s="2" t="inlineStr">
        <is>
          <t>MEM-04</t>
        </is>
      </c>
      <c r="B96" s="2" t="inlineStr">
        <is>
          <t>B79/P79/run1</t>
        </is>
      </c>
      <c r="C96" s="2" t="inlineStr"/>
      <c r="D96" s="2" t="inlineStr">
        <is>
          <t>AUTO</t>
        </is>
      </c>
      <c r="E96" s="2" t="b">
        <v>0</v>
      </c>
      <c r="F96" s="2" t="inlineStr">
        <is>
          <t>{"rtl": {"val": "0"}}</t>
        </is>
      </c>
      <c r="G96" s="2" t="inlineStr">
        <is>
          <t>{"rFonts": {"ascii": "Times New Roman", "cs": "Times New Roman", "eastAsia": "Times New Roman", "hAnsi": "Times New Roman"}, "i": {"val": "1"}, "iCs": {"val": "1"}, "u": {"val": "single"}}</t>
        </is>
      </c>
      <c r="H96" s="2" t="inlineStr">
        <is>
          <t>{}</t>
        </is>
      </c>
    </row>
    <row r="97" ht="68" customHeight="1">
      <c r="A97" s="3" t="inlineStr">
        <is>
          <t>MEM-04</t>
        </is>
      </c>
      <c r="B97" s="3" t="inlineStr">
        <is>
          <t>B80/P80/run1</t>
        </is>
      </c>
      <c r="C97" s="3" t="inlineStr"/>
      <c r="D97" s="3" t="inlineStr">
        <is>
          <t>AUTO</t>
        </is>
      </c>
      <c r="E97" s="3" t="b">
        <v>0</v>
      </c>
      <c r="F97" s="3" t="inlineStr">
        <is>
          <t>{"rtl": {"val": "0"}}</t>
        </is>
      </c>
      <c r="G97" s="3" t="inlineStr">
        <is>
          <t>{"rFonts": {"ascii": "Times New Roman", "cs": "Times New Roman", "eastAsia": "Times New Roman", "hAnsi": "Times New Roman"}, "i": {"val": "1"}, "iCs": {"val": "1"}, "u": {"val": "single"}}</t>
        </is>
      </c>
      <c r="H97" s="3" t="inlineStr">
        <is>
          <t>{}</t>
        </is>
      </c>
    </row>
    <row r="98" ht="68" customHeight="1">
      <c r="A98" s="2" t="inlineStr">
        <is>
          <t>MEM-04</t>
        </is>
      </c>
      <c r="B98" s="2" t="inlineStr">
        <is>
          <t>B81/P81/run1</t>
        </is>
      </c>
      <c r="C98" s="2" t="inlineStr"/>
      <c r="D98" s="2" t="inlineStr">
        <is>
          <t>AUTO</t>
        </is>
      </c>
      <c r="E98" s="2" t="b">
        <v>0</v>
      </c>
      <c r="F98" s="2" t="inlineStr">
        <is>
          <t>{"rtl": {"val": "0"}}</t>
        </is>
      </c>
      <c r="G98" s="2" t="inlineStr">
        <is>
          <t>{"rFonts": {"ascii": "Times New Roman", "cs": "Times New Roman", "eastAsia": "Times New Roman", "hAnsi": "Times New Roman"}, "i": {"val": "1"}, "iCs": {"val": "1"}, "u": {"val": "single"}}</t>
        </is>
      </c>
      <c r="H98" s="2" t="inlineStr">
        <is>
          <t>{}</t>
        </is>
      </c>
    </row>
    <row r="99" ht="68" customHeight="1">
      <c r="A99" s="3" t="inlineStr">
        <is>
          <t>MEM-04</t>
        </is>
      </c>
      <c r="B99" s="3" t="inlineStr">
        <is>
          <t>B82/P82/run1</t>
        </is>
      </c>
      <c r="C99" s="3" t="inlineStr"/>
      <c r="D99" s="3" t="inlineStr">
        <is>
          <t>AUTO</t>
        </is>
      </c>
      <c r="E99" s="3" t="b">
        <v>0</v>
      </c>
      <c r="F99" s="3" t="inlineStr">
        <is>
          <t>{"rtl": {"val": "0"}}</t>
        </is>
      </c>
      <c r="G99" s="3" t="inlineStr">
        <is>
          <t>{"rFonts": {"ascii": "Times New Roman", "cs": "Times New Roman", "eastAsia": "Times New Roman", "hAnsi": "Times New Roman"}, "i": {"val": "1"}, "iCs": {"val": "1"}, "u": {"val": "single"}}</t>
        </is>
      </c>
      <c r="H99" s="3" t="inlineStr">
        <is>
          <t>{}</t>
        </is>
      </c>
    </row>
    <row r="100" ht="68" customHeight="1">
      <c r="A100" s="2" t="inlineStr">
        <is>
          <t>MEM-04</t>
        </is>
      </c>
      <c r="B100" s="2" t="inlineStr">
        <is>
          <t>B83/P83/run1</t>
        </is>
      </c>
      <c r="C100" s="2" t="inlineStr"/>
      <c r="D100" s="2" t="inlineStr">
        <is>
          <t>AUTO</t>
        </is>
      </c>
      <c r="E100" s="2" t="b">
        <v>0</v>
      </c>
      <c r="F100" s="2" t="inlineStr">
        <is>
          <t>{"rtl": {"val": "0"}}</t>
        </is>
      </c>
      <c r="G100" s="2" t="inlineStr">
        <is>
          <t>{"rFonts": {"ascii": "Times New Roman", "cs": "Times New Roman", "eastAsia": "Times New Roman", "hAnsi": "Times New Roman"}, "i": {"val": "1"}, "iCs": {"val": "1"}, "u": {"val": "single"}}</t>
        </is>
      </c>
      <c r="H100" s="2" t="inlineStr">
        <is>
          <t>{}</t>
        </is>
      </c>
    </row>
    <row r="101" ht="68" customHeight="1">
      <c r="A101" s="3" t="inlineStr">
        <is>
          <t>MEM-04</t>
        </is>
      </c>
      <c r="B101" s="3" t="inlineStr">
        <is>
          <t>B84/P84/run1</t>
        </is>
      </c>
      <c r="C101" s="3" t="inlineStr"/>
      <c r="D101" s="3" t="inlineStr">
        <is>
          <t>AUTO</t>
        </is>
      </c>
      <c r="E101" s="3" t="b">
        <v>0</v>
      </c>
      <c r="F101" s="3" t="inlineStr">
        <is>
          <t>{"rtl": {"val": "0"}}</t>
        </is>
      </c>
      <c r="G101" s="3" t="inlineStr">
        <is>
          <t>{"rFonts": {"ascii": "Times New Roman", "cs": "Times New Roman", "eastAsia": "Times New Roman", "hAnsi": "Times New Roman"}, "i": {"val": "1"}, "iCs": {"val": "1"}, "u": {"val": "single"}}</t>
        </is>
      </c>
      <c r="H101" s="3" t="inlineStr">
        <is>
          <t>{}</t>
        </is>
      </c>
    </row>
    <row r="102" ht="68" customHeight="1">
      <c r="A102" s="2" t="inlineStr">
        <is>
          <t>MEM-05</t>
        </is>
      </c>
      <c r="B102" s="2" t="inlineStr">
        <is>
          <t>B85/P85/run1</t>
        </is>
      </c>
      <c r="C102" s="2" t="inlineStr">
        <is>
          <t>- [ ] MEM-05 — Vai trò/hạng thẻ: khi thêm thành viên, chọn ADMIN hoặc PREMIUM, sau đó kiểm tra tài khoản được lưu.</t>
        </is>
      </c>
      <c r="D102" s="16" t="inlineStr">
        <is>
          <t>FF9900</t>
        </is>
      </c>
      <c r="E102" s="2" t="b">
        <v>0</v>
      </c>
      <c r="F102" s="2" t="inlineStr">
        <is>
          <t>{"rFonts": {"ascii": "Times New Roman", "cs": "Times New Roman", "eastAsia": "Times New Roman", "hAnsi": "Times New Roman"}, "color": {"val": "ff9900"}, "rtl": {"val": "0"}}</t>
        </is>
      </c>
      <c r="G102" s="2" t="inlineStr">
        <is>
          <t>{"rFonts": {"ascii": "Times New Roman", "cs": "Times New Roman", "eastAsia": "Times New Roman", "hAnsi": "Times New Roman"}, "color": {"val": "ff9900"}}</t>
        </is>
      </c>
      <c r="H102" s="2" t="inlineStr">
        <is>
          <t>{}</t>
        </is>
      </c>
    </row>
    <row r="103" ht="53" customHeight="1">
      <c r="A103" s="3" t="inlineStr">
        <is>
          <t>MEM-05</t>
        </is>
      </c>
      <c r="B103" s="3" t="inlineStr">
        <is>
          <t>B86/P86/run1</t>
        </is>
      </c>
      <c r="C103" s="3" t="inlineStr"/>
      <c r="D103" s="3" t="inlineStr">
        <is>
          <t>AUTO</t>
        </is>
      </c>
      <c r="E103" s="3" t="b">
        <v>0</v>
      </c>
      <c r="F103" s="3" t="inlineStr">
        <is>
          <t>{"rtl": {"val": "0"}}</t>
        </is>
      </c>
      <c r="G103" s="3" t="inlineStr">
        <is>
          <t>{"rFonts": {"ascii": "Times New Roman", "cs": "Times New Roman", "eastAsia": "Times New Roman", "hAnsi": "Times New Roman"}}</t>
        </is>
      </c>
      <c r="H103" s="3" t="inlineStr">
        <is>
          <t>{}</t>
        </is>
      </c>
    </row>
    <row r="104" ht="53" customHeight="1">
      <c r="A104" s="2" t="inlineStr">
        <is>
          <t>MEM-05</t>
        </is>
      </c>
      <c r="B104" s="2" t="inlineStr">
        <is>
          <t>B87/T1/R1/C1/P1/run1</t>
        </is>
      </c>
      <c r="C104" s="2" t="inlineStr"/>
      <c r="D104" s="2" t="inlineStr">
        <is>
          <t>AUTO</t>
        </is>
      </c>
      <c r="E104" s="2" t="b">
        <v>0</v>
      </c>
      <c r="F104" s="2" t="inlineStr">
        <is>
          <t>{"rFonts": {"ascii": "Times New Roman", "cs": "Times New Roman", "eastAsia": "Times New Roman", "hAnsi": "Times New Roman"}}</t>
        </is>
      </c>
      <c r="G104" s="2" t="inlineStr">
        <is>
          <t>{"rFonts": {"ascii": "Times New Roman", "cs": "Times New Roman", "eastAsia": "Times New Roman", "hAnsi": "Times New Roman"}}</t>
        </is>
      </c>
      <c r="H104" s="2" t="inlineStr">
        <is>
          <t>{"shd": {"fill": "auto", "val": "clear"}, "tcMar": {}, "vAlign": {"val": "top"}}</t>
        </is>
      </c>
    </row>
    <row r="105" ht="53" customHeight="1">
      <c r="A105" s="3" t="inlineStr">
        <is>
          <t>MEM-05</t>
        </is>
      </c>
      <c r="B105" s="3" t="inlineStr">
        <is>
          <t>B87/T1/R1/C1/P1/run2</t>
        </is>
      </c>
      <c r="C105" s="3" t="inlineStr"/>
      <c r="D105" s="3" t="inlineStr">
        <is>
          <t>AUTO</t>
        </is>
      </c>
      <c r="E105" s="3" t="b">
        <v>0</v>
      </c>
      <c r="F105" s="3" t="inlineStr">
        <is>
          <t>{"rtl": {"val": "0"}}</t>
        </is>
      </c>
      <c r="G105" s="3" t="inlineStr">
        <is>
          <t>{"rFonts": {"ascii": "Times New Roman", "cs": "Times New Roman", "eastAsia": "Times New Roman", "hAnsi": "Times New Roman"}}</t>
        </is>
      </c>
      <c r="H105" s="3" t="inlineStr">
        <is>
          <t>{"shd": {"fill": "auto", "val": "clear"}, "tcMar": {}, "vAlign": {"val": "top"}}</t>
        </is>
      </c>
    </row>
    <row r="106" ht="53" customHeight="1">
      <c r="A106" s="2" t="inlineStr">
        <is>
          <t>MEM-05</t>
        </is>
      </c>
      <c r="B106" s="2" t="inlineStr">
        <is>
          <t>B87/T1/R1/C2/P1/run1</t>
        </is>
      </c>
      <c r="C106" s="2" t="inlineStr"/>
      <c r="D106" s="2" t="inlineStr">
        <is>
          <t>AUTO</t>
        </is>
      </c>
      <c r="E106" s="2" t="b">
        <v>0</v>
      </c>
      <c r="F106" s="2" t="inlineStr">
        <is>
          <t>{"rFonts": {"ascii": "Times New Roman", "cs": "Times New Roman", "eastAsia": "Times New Roman", "hAnsi": "Times New Roman"}}</t>
        </is>
      </c>
      <c r="G106" s="2" t="inlineStr">
        <is>
          <t>{"rFonts": {"ascii": "Times New Roman", "cs": "Times New Roman", "eastAsia": "Times New Roman", "hAnsi": "Times New Roman"}}</t>
        </is>
      </c>
      <c r="H106" s="2" t="inlineStr">
        <is>
          <t>{"shd": {"fill": "auto", "val": "clear"}, "tcMar": {}, "vAlign": {"val": "top"}}</t>
        </is>
      </c>
    </row>
    <row r="107" ht="53" customHeight="1">
      <c r="A107" s="3" t="inlineStr">
        <is>
          <t>MEM-05</t>
        </is>
      </c>
      <c r="B107" s="3" t="inlineStr">
        <is>
          <t>B87/T1/R1/C2/P1/run2</t>
        </is>
      </c>
      <c r="C107" s="3" t="inlineStr"/>
      <c r="D107" s="3" t="inlineStr">
        <is>
          <t>AUTO</t>
        </is>
      </c>
      <c r="E107" s="3" t="b">
        <v>0</v>
      </c>
      <c r="F107" s="3" t="inlineStr">
        <is>
          <t>{"rtl": {"val": "0"}}</t>
        </is>
      </c>
      <c r="G107" s="3" t="inlineStr">
        <is>
          <t>{"rFonts": {"ascii": "Times New Roman", "cs": "Times New Roman", "eastAsia": "Times New Roman", "hAnsi": "Times New Roman"}}</t>
        </is>
      </c>
      <c r="H107" s="3" t="inlineStr">
        <is>
          <t>{"shd": {"fill": "auto", "val": "clear"}, "tcMar": {}, "vAlign": {"val": "top"}}</t>
        </is>
      </c>
    </row>
    <row r="108" ht="53" customHeight="1">
      <c r="A108" s="2" t="inlineStr">
        <is>
          <t>MEM-05</t>
        </is>
      </c>
      <c r="B108" s="2" t="inlineStr">
        <is>
          <t>B88/P89/run1</t>
        </is>
      </c>
      <c r="C108" s="2" t="inlineStr"/>
      <c r="D108" s="2" t="inlineStr">
        <is>
          <t>AUTO</t>
        </is>
      </c>
      <c r="E108" s="2" t="b">
        <v>0</v>
      </c>
      <c r="F108" s="2" t="inlineStr">
        <is>
          <t>{"rtl": {"val": "0"}}</t>
        </is>
      </c>
      <c r="G108" s="2" t="inlineStr">
        <is>
          <t>{"rFonts": {"ascii": "Times New Roman", "cs": "Times New Roman", "eastAsia": "Times New Roman", "hAnsi": "Times New Roman"}}</t>
        </is>
      </c>
      <c r="H108" s="2" t="inlineStr">
        <is>
          <t>{}</t>
        </is>
      </c>
    </row>
    <row r="109" ht="68" customHeight="1">
      <c r="A109" s="3" t="inlineStr">
        <is>
          <t>MEM-05</t>
        </is>
      </c>
      <c r="B109" s="3" t="inlineStr">
        <is>
          <t>B89/P90/run1</t>
        </is>
      </c>
      <c r="C109" s="15" t="inlineStr">
        <is>
          <t>( khi thêm thành viên, chọn hạng thành viên không tác dụng, thành viên tạo ra luôn luôn là STANDARD)</t>
        </is>
      </c>
      <c r="D109" s="3" t="inlineStr">
        <is>
          <t>AUTO</t>
        </is>
      </c>
      <c r="E109" s="3" t="b">
        <v>1</v>
      </c>
      <c r="F109" s="3" t="inlineStr">
        <is>
          <t>{"rFonts": {"ascii": "Times New Roman", "cs": "Times New Roman", "eastAsia": "Times New Roman", "hAnsi": "Times New Roman"}, "i": {"val": "1"}, "iCs": {"val": "1"}, "rtl": {"val": "0"}}</t>
        </is>
      </c>
      <c r="G109" s="3" t="inlineStr">
        <is>
          <t>{"rFonts": {"ascii": "Times New Roman", "cs": "Times New Roman", "eastAsia": "Times New Roman", "hAnsi": "Times New Roman"}, "i": {"val": "1"}, "iCs": {"val": "1"}}</t>
        </is>
      </c>
      <c r="H109" s="3" t="inlineStr">
        <is>
          <t>{}</t>
        </is>
      </c>
    </row>
    <row r="110" ht="68" customHeight="1">
      <c r="A110" s="2" t="inlineStr">
        <is>
          <t>MEM-05</t>
        </is>
      </c>
      <c r="B110" s="2" t="inlineStr">
        <is>
          <t>B90/P91/run1</t>
        </is>
      </c>
      <c r="C110" s="2" t="inlineStr"/>
      <c r="D110" s="2" t="inlineStr">
        <is>
          <t>AUTO</t>
        </is>
      </c>
      <c r="E110" s="2" t="b">
        <v>0</v>
      </c>
      <c r="F110" s="2" t="inlineStr">
        <is>
          <t>{"rtl": {"val": "0"}}</t>
        </is>
      </c>
      <c r="G110" s="2" t="inlineStr">
        <is>
          <t>{"rFonts": {"ascii": "Times New Roman", "cs": "Times New Roman", "eastAsia": "Times New Roman", "hAnsi": "Times New Roman"}, "i": {"val": "1"}, "iCs": {"val": "1"}}</t>
        </is>
      </c>
      <c r="H110" s="2" t="inlineStr">
        <is>
          <t>{}</t>
        </is>
      </c>
    </row>
    <row r="111" ht="53" customHeight="1">
      <c r="A111" s="3" t="inlineStr"/>
      <c r="B111" s="3" t="inlineStr">
        <is>
          <t>B91/P92/run1</t>
        </is>
      </c>
      <c r="C111" s="3" t="inlineStr">
        <is>
          <t>6. Kiểm kê kho</t>
        </is>
      </c>
      <c r="D111" s="3" t="inlineStr">
        <is>
          <t>AUTO</t>
        </is>
      </c>
      <c r="E111" s="3" t="b">
        <v>0</v>
      </c>
      <c r="F111" s="3" t="inlineStr">
        <is>
          <t>{"rFonts": {"ascii": "Times New Roman", "cs": "Times New Roman", "eastAsia": "Times New Roman", "hAnsi": "Times New Roman"}, "rtl": {"val": "0"}}</t>
        </is>
      </c>
      <c r="G111" s="3" t="inlineStr">
        <is>
          <t>{"rFonts": {"ascii": "Times New Roman", "cs": "Times New Roman", "eastAsia": "Times New Roman", "hAnsi": "Times New Roman"}}</t>
        </is>
      </c>
      <c r="H111" s="3" t="inlineStr">
        <is>
          <t>{}</t>
        </is>
      </c>
    </row>
    <row r="112" ht="68" customHeight="1">
      <c r="A112" s="2" t="inlineStr">
        <is>
          <t>INV-01</t>
        </is>
      </c>
      <c r="B112" s="2" t="inlineStr">
        <is>
          <t>B92/P93/run1</t>
        </is>
      </c>
      <c r="C112" s="2" t="inlineStr">
        <is>
          <t>- [ ] INV-01 — Kho dự kiến: Admin mở /inventory, bấm “Xem chi tiết” và tìm một barcode. Kỳ vọng: chỉ các bản đang AVAILABLE được tính là dự kiến trên kệ.</t>
        </is>
      </c>
      <c r="D112" s="14" t="inlineStr">
        <is>
          <t>00FF00</t>
        </is>
      </c>
      <c r="E112" s="2" t="b">
        <v>0</v>
      </c>
      <c r="F112" s="2" t="inlineStr">
        <is>
          <t>{"rFonts": {"ascii": "Times New Roman", "cs": "Times New Roman", "eastAsia": "Times New Roman", "hAnsi": "Times New Roman"}, "color": {"val": "00ff00"}, "rtl": {"val": "0"}}</t>
        </is>
      </c>
      <c r="G112" s="2" t="inlineStr">
        <is>
          <t>{"rFonts": {"ascii": "Times New Roman", "cs": "Times New Roman", "eastAsia": "Times New Roman", "hAnsi": "Times New Roman"}, "color": {"val": "00ff00"}}</t>
        </is>
      </c>
      <c r="H112" s="2" t="inlineStr">
        <is>
          <t>{}</t>
        </is>
      </c>
    </row>
    <row r="113" ht="68" customHeight="1">
      <c r="A113" s="3" t="inlineStr">
        <is>
          <t>INV-01</t>
        </is>
      </c>
      <c r="B113" s="3" t="inlineStr">
        <is>
          <t>B93/P94/run1</t>
        </is>
      </c>
      <c r="C113" s="3" t="inlineStr"/>
      <c r="D113" s="14" t="inlineStr">
        <is>
          <t>00FF00</t>
        </is>
      </c>
      <c r="E113" s="3" t="b">
        <v>0</v>
      </c>
      <c r="F113" s="3" t="inlineStr">
        <is>
          <t>{"rFonts": {"ascii": "Times New Roman", "cs": "Times New Roman", "eastAsia": "Times New Roman", "hAnsi": "Times New Roman"}, "color": {"val": "00ff00"}}</t>
        </is>
      </c>
      <c r="G113" s="3" t="inlineStr">
        <is>
          <t>{"rFonts": {"ascii": "Times New Roman", "cs": "Times New Roman", "eastAsia": "Times New Roman", "hAnsi": "Times New Roman"}, "color": {"val": "00ff00"}}</t>
        </is>
      </c>
      <c r="H113" s="3" t="inlineStr">
        <is>
          <t>{}</t>
        </is>
      </c>
    </row>
    <row r="114" ht="68" customHeight="1">
      <c r="A114" s="2" t="inlineStr">
        <is>
          <t>INV-01</t>
        </is>
      </c>
      <c r="B114" s="2" t="inlineStr">
        <is>
          <t>B93/P94/run2</t>
        </is>
      </c>
      <c r="C114" s="2" t="inlineStr"/>
      <c r="D114" s="2" t="inlineStr">
        <is>
          <t>AUTO</t>
        </is>
      </c>
      <c r="E114" s="2" t="b">
        <v>0</v>
      </c>
      <c r="F114" s="2" t="inlineStr">
        <is>
          <t>{"rtl": {"val": "0"}}</t>
        </is>
      </c>
      <c r="G114" s="2" t="inlineStr">
        <is>
          <t>{"rFonts": {"ascii": "Times New Roman", "cs": "Times New Roman", "eastAsia": "Times New Roman", "hAnsi": "Times New Roman"}, "color": {"val": "00ff00"}}</t>
        </is>
      </c>
      <c r="H114" s="2" t="inlineStr">
        <is>
          <t>{}</t>
        </is>
      </c>
    </row>
    <row r="115" ht="68" customHeight="1">
      <c r="A115" s="3" t="inlineStr">
        <is>
          <t>INV-01</t>
        </is>
      </c>
      <c r="B115" s="3" t="inlineStr">
        <is>
          <t>B94/P95/run1</t>
        </is>
      </c>
      <c r="C115" s="3" t="inlineStr"/>
      <c r="D115" s="14" t="inlineStr">
        <is>
          <t>00FF00</t>
        </is>
      </c>
      <c r="E115" s="3" t="b">
        <v>0</v>
      </c>
      <c r="F115" s="3" t="inlineStr">
        <is>
          <t>{"rFonts": {"ascii": "Times New Roman", "cs": "Times New Roman", "eastAsia": "Times New Roman", "hAnsi": "Times New Roman"}, "color": {"val": "00ff00"}, "rtl": {"val": "0"}}</t>
        </is>
      </c>
      <c r="G115" s="3" t="inlineStr">
        <is>
          <t>{"rFonts": {"ascii": "Times New Roman", "cs": "Times New Roman", "eastAsia": "Times New Roman", "hAnsi": "Times New Roman"}, "color": {"val": "00ff00"}}</t>
        </is>
      </c>
      <c r="H115" s="3" t="inlineStr">
        <is>
          <t>{}</t>
        </is>
      </c>
    </row>
    <row r="116" ht="68" customHeight="1">
      <c r="A116" s="2" t="inlineStr">
        <is>
          <t>INV-01</t>
        </is>
      </c>
      <c r="B116" s="2" t="inlineStr">
        <is>
          <t>B95/P96/run1</t>
        </is>
      </c>
      <c r="C116" s="2" t="inlineStr"/>
      <c r="D116" s="2" t="inlineStr">
        <is>
          <t>AUTO</t>
        </is>
      </c>
      <c r="E116" s="2" t="b">
        <v>0</v>
      </c>
      <c r="F116" s="2" t="inlineStr">
        <is>
          <t>{"rtl": {"val": "0"}}</t>
        </is>
      </c>
      <c r="G116" s="2" t="inlineStr">
        <is>
          <t>{"rFonts": {"ascii": "Times New Roman", "cs": "Times New Roman", "eastAsia": "Times New Roman", "hAnsi": "Times New Roman"}, "color": {"val": "00ff00"}}</t>
        </is>
      </c>
      <c r="H116" s="2" t="inlineStr">
        <is>
          <t>{}</t>
        </is>
      </c>
    </row>
    <row r="117" ht="68" customHeight="1">
      <c r="A117" s="3" t="inlineStr">
        <is>
          <t>INV-01</t>
        </is>
      </c>
      <c r="B117" s="3" t="inlineStr">
        <is>
          <t>B96/P97/run1</t>
        </is>
      </c>
      <c r="C117" s="3" t="inlineStr"/>
      <c r="D117" s="3" t="inlineStr">
        <is>
          <t>AUTO</t>
        </is>
      </c>
      <c r="E117" s="3" t="b">
        <v>0</v>
      </c>
      <c r="F117" s="3" t="inlineStr">
        <is>
          <t>{"rtl": {"val": "0"}}</t>
        </is>
      </c>
      <c r="G117" s="3" t="inlineStr">
        <is>
          <t>{"rFonts": {"ascii": "Times New Roman", "cs": "Times New Roman", "eastAsia": "Times New Roman", "hAnsi": "Times New Roman"}, "color": {"val": "00ff00"}}</t>
        </is>
      </c>
      <c r="H117" s="3" t="inlineStr">
        <is>
          <t>{}</t>
        </is>
      </c>
    </row>
    <row r="118" ht="68" customHeight="1">
      <c r="A118" s="2" t="inlineStr">
        <is>
          <t>INV-02</t>
        </is>
      </c>
      <c r="B118" s="2" t="inlineStr">
        <is>
          <t>B97/P98/run1</t>
        </is>
      </c>
      <c r="C118" s="2" t="inlineStr">
        <is>
          <t>- [ ] INV-02 — Barcode hợp lệ: nhập barcode AVAILABLE rồi đối chiếu. Kỳ vọng: nằm trong nhóm “Sách hợp lệ”.</t>
        </is>
      </c>
      <c r="D118" s="14" t="inlineStr">
        <is>
          <t>00FF00</t>
        </is>
      </c>
      <c r="E118" s="2" t="b">
        <v>0</v>
      </c>
      <c r="F118" s="2" t="inlineStr">
        <is>
          <t>{"rFonts": {"ascii": "Times New Roman", "cs": "Times New Roman", "eastAsia": "Times New Roman", "hAnsi": "Times New Roman"}, "color": {"val": "00ff00"}, "rtl": {"val": "0"}}</t>
        </is>
      </c>
      <c r="G118" s="2" t="inlineStr">
        <is>
          <t>{"rFonts": {"ascii": "Times New Roman", "cs": "Times New Roman", "eastAsia": "Times New Roman", "hAnsi": "Times New Roman"}, "color": {"val": "00ff00"}}</t>
        </is>
      </c>
      <c r="H118" s="2" t="inlineStr">
        <is>
          <t>{}</t>
        </is>
      </c>
    </row>
    <row r="119" ht="68" customHeight="1">
      <c r="A119" s="3" t="inlineStr">
        <is>
          <t>INV-02</t>
        </is>
      </c>
      <c r="B119" s="3" t="inlineStr">
        <is>
          <t>B98/P99/run1</t>
        </is>
      </c>
      <c r="C119" s="3" t="inlineStr"/>
      <c r="D119" s="14" t="inlineStr">
        <is>
          <t>00FF00</t>
        </is>
      </c>
      <c r="E119" s="3" t="b">
        <v>0</v>
      </c>
      <c r="F119" s="3" t="inlineStr">
        <is>
          <t>{"rFonts": {"ascii": "Times New Roman", "cs": "Times New Roman", "eastAsia": "Times New Roman", "hAnsi": "Times New Roman"}, "color": {"val": "00ff00"}}</t>
        </is>
      </c>
      <c r="G119" s="3" t="inlineStr">
        <is>
          <t>{"rFonts": {"ascii": "Times New Roman", "cs": "Times New Roman", "eastAsia": "Times New Roman", "hAnsi": "Times New Roman"}, "color": {"val": "00ff00"}}</t>
        </is>
      </c>
      <c r="H119" s="3" t="inlineStr">
        <is>
          <t>{}</t>
        </is>
      </c>
    </row>
    <row r="120" ht="68" customHeight="1">
      <c r="A120" s="2" t="inlineStr">
        <is>
          <t>INV-02</t>
        </is>
      </c>
      <c r="B120" s="2" t="inlineStr">
        <is>
          <t>B98/P99/run2</t>
        </is>
      </c>
      <c r="C120" s="2" t="inlineStr"/>
      <c r="D120" s="2" t="inlineStr">
        <is>
          <t>AUTO</t>
        </is>
      </c>
      <c r="E120" s="2" t="b">
        <v>0</v>
      </c>
      <c r="F120" s="2" t="inlineStr">
        <is>
          <t>{"rtl": {"val": "0"}}</t>
        </is>
      </c>
      <c r="G120" s="2" t="inlineStr">
        <is>
          <t>{"rFonts": {"ascii": "Times New Roman", "cs": "Times New Roman", "eastAsia": "Times New Roman", "hAnsi": "Times New Roman"}, "color": {"val": "00ff00"}}</t>
        </is>
      </c>
      <c r="H120" s="2" t="inlineStr">
        <is>
          <t>{}</t>
        </is>
      </c>
    </row>
    <row r="121" ht="68" customHeight="1">
      <c r="A121" s="3" t="inlineStr">
        <is>
          <t>INV-02</t>
        </is>
      </c>
      <c r="B121" s="3" t="inlineStr">
        <is>
          <t>B99/P100/run1</t>
        </is>
      </c>
      <c r="C121" s="3" t="inlineStr"/>
      <c r="D121" s="3" t="inlineStr">
        <is>
          <t>AUTO</t>
        </is>
      </c>
      <c r="E121" s="3" t="b">
        <v>0</v>
      </c>
      <c r="F121" s="3" t="inlineStr">
        <is>
          <t>{"rtl": {"val": "0"}}</t>
        </is>
      </c>
      <c r="G121" s="3" t="inlineStr">
        <is>
          <t>{"rFonts": {"ascii": "Times New Roman", "cs": "Times New Roman", "eastAsia": "Times New Roman", "hAnsi": "Times New Roman"}, "color": {"val": "00ff00"}}</t>
        </is>
      </c>
      <c r="H121" s="3" t="inlineStr">
        <is>
          <t>{}</t>
        </is>
      </c>
    </row>
    <row r="122" ht="68" customHeight="1">
      <c r="A122" s="2" t="inlineStr">
        <is>
          <t>INV-03</t>
        </is>
      </c>
      <c r="B122" s="2" t="inlineStr">
        <is>
          <t>B100/P101/run1</t>
        </is>
      </c>
      <c r="C122" s="2" t="inlineStr">
        <is>
          <t>- [ ] INV-03 — Quét trùng: nhập cùng barcode hai lần. Kỳ vọng: danh sách quét không tính trùng.</t>
        </is>
      </c>
      <c r="D122" s="14" t="inlineStr">
        <is>
          <t>00FF00</t>
        </is>
      </c>
      <c r="E122" s="2" t="b">
        <v>0</v>
      </c>
      <c r="F122" s="2" t="inlineStr">
        <is>
          <t>{"rFonts": {"ascii": "Times New Roman", "cs": "Times New Roman", "eastAsia": "Times New Roman", "hAnsi": "Times New Roman"}, "color": {"val": "00ff00"}, "rtl": {"val": "0"}}</t>
        </is>
      </c>
      <c r="G122" s="2" t="inlineStr">
        <is>
          <t>{"rFonts": {"ascii": "Times New Roman", "cs": "Times New Roman", "eastAsia": "Times New Roman", "hAnsi": "Times New Roman"}, "color": {"val": "00ff00"}}</t>
        </is>
      </c>
      <c r="H122" s="2" t="inlineStr">
        <is>
          <t>{}</t>
        </is>
      </c>
    </row>
    <row r="123" ht="53" customHeight="1">
      <c r="A123" s="3" t="inlineStr">
        <is>
          <t>INV-03</t>
        </is>
      </c>
      <c r="B123" s="3" t="inlineStr">
        <is>
          <t>B101/P102/run1</t>
        </is>
      </c>
      <c r="C123" s="3" t="inlineStr"/>
      <c r="D123" s="3" t="inlineStr">
        <is>
          <t>AUTO</t>
        </is>
      </c>
      <c r="E123" s="3" t="b">
        <v>0</v>
      </c>
      <c r="F123" s="3" t="inlineStr">
        <is>
          <t>{"rFonts": {"ascii": "Times New Roman", "cs": "Times New Roman", "eastAsia": "Times New Roman", "hAnsi": "Times New Roman"}}</t>
        </is>
      </c>
      <c r="G123" s="3" t="inlineStr">
        <is>
          <t>{"rFonts": {"ascii": "Times New Roman", "cs": "Times New Roman", "eastAsia": "Times New Roman", "hAnsi": "Times New Roman"}}</t>
        </is>
      </c>
      <c r="H123" s="3" t="inlineStr">
        <is>
          <t>{}</t>
        </is>
      </c>
    </row>
    <row r="124" ht="53" customHeight="1">
      <c r="A124" s="2" t="inlineStr">
        <is>
          <t>INV-03</t>
        </is>
      </c>
      <c r="B124" s="2" t="inlineStr">
        <is>
          <t>B101/P102/run2</t>
        </is>
      </c>
      <c r="C124" s="2" t="inlineStr"/>
      <c r="D124" s="2" t="inlineStr">
        <is>
          <t>AUTO</t>
        </is>
      </c>
      <c r="E124" s="2" t="b">
        <v>0</v>
      </c>
      <c r="F124" s="2" t="inlineStr">
        <is>
          <t>{"rtl": {"val": "0"}}</t>
        </is>
      </c>
      <c r="G124" s="2" t="inlineStr">
        <is>
          <t>{"rFonts": {"ascii": "Times New Roman", "cs": "Times New Roman", "eastAsia": "Times New Roman", "hAnsi": "Times New Roman"}}</t>
        </is>
      </c>
      <c r="H124" s="2" t="inlineStr">
        <is>
          <t>{}</t>
        </is>
      </c>
    </row>
    <row r="125" ht="53" customHeight="1">
      <c r="A125" s="3" t="inlineStr">
        <is>
          <t>INV-03</t>
        </is>
      </c>
      <c r="B125" s="3" t="inlineStr">
        <is>
          <t>B102/P103/run1</t>
        </is>
      </c>
      <c r="C125" s="3" t="inlineStr"/>
      <c r="D125" s="3" t="inlineStr">
        <is>
          <t>AUTO</t>
        </is>
      </c>
      <c r="E125" s="3" t="b">
        <v>0</v>
      </c>
      <c r="F125" s="3" t="inlineStr">
        <is>
          <t>{"rtl": {"val": "0"}}</t>
        </is>
      </c>
      <c r="G125" s="3" t="inlineStr">
        <is>
          <t>{"rFonts": {"ascii": "Times New Roman", "cs": "Times New Roman", "eastAsia": "Times New Roman", "hAnsi": "Times New Roman"}}</t>
        </is>
      </c>
      <c r="H125" s="3" t="inlineStr">
        <is>
          <t>{}</t>
        </is>
      </c>
    </row>
    <row r="126" ht="68" customHeight="1">
      <c r="A126" s="2" t="inlineStr">
        <is>
          <t>INV-04</t>
        </is>
      </c>
      <c r="B126" s="2" t="inlineStr">
        <is>
          <t>B103/P104/run1</t>
        </is>
      </c>
      <c r="C126" s="2" t="inlineStr">
        <is>
          <t>- [ ] INV-04 — Thiếu/bất thường: chỉ quét một phần kho và thêm một mã lạ. Kỳ vọng: bản chưa quét vào nhóm “Thiếu”; mã lạ vào nhóm “Bất thường”.</t>
        </is>
      </c>
      <c r="D126" s="16" t="inlineStr">
        <is>
          <t>FF9900</t>
        </is>
      </c>
      <c r="E126" s="2" t="b">
        <v>0</v>
      </c>
      <c r="F126" s="2" t="inlineStr">
        <is>
          <t>{"rFonts": {"ascii": "Times New Roman", "cs": "Times New Roman", "eastAsia": "Times New Roman", "hAnsi": "Times New Roman"}, "color": {"val": "ff9900"}, "rtl": {"val": "0"}}</t>
        </is>
      </c>
      <c r="G126" s="2" t="inlineStr">
        <is>
          <t>{"rFonts": {"ascii": "Times New Roman", "cs": "Times New Roman", "eastAsia": "Times New Roman", "hAnsi": "Times New Roman"}, "color": {"val": "ff9900"}}</t>
        </is>
      </c>
      <c r="H126" s="2" t="inlineStr">
        <is>
          <t>{}</t>
        </is>
      </c>
    </row>
    <row r="127" ht="53" customHeight="1">
      <c r="A127" s="3" t="inlineStr">
        <is>
          <t>INV-04</t>
        </is>
      </c>
      <c r="B127" s="3" t="inlineStr">
        <is>
          <t>B104/P105/run1</t>
        </is>
      </c>
      <c r="C127" s="3" t="inlineStr"/>
      <c r="D127" s="3" t="inlineStr">
        <is>
          <t>AUTO</t>
        </is>
      </c>
      <c r="E127" s="3" t="b">
        <v>0</v>
      </c>
      <c r="F127" s="3" t="inlineStr">
        <is>
          <t>{"rFonts": {"ascii": "Times New Roman", "cs": "Times New Roman", "eastAsia": "Times New Roman", "hAnsi": "Times New Roman"}}</t>
        </is>
      </c>
      <c r="G127" s="3" t="inlineStr">
        <is>
          <t>{"rFonts": {"ascii": "Times New Roman", "cs": "Times New Roman", "eastAsia": "Times New Roman", "hAnsi": "Times New Roman"}}</t>
        </is>
      </c>
      <c r="H127" s="3" t="inlineStr">
        <is>
          <t>{}</t>
        </is>
      </c>
    </row>
    <row r="128" ht="53" customHeight="1">
      <c r="A128" s="2" t="inlineStr">
        <is>
          <t>INV-04</t>
        </is>
      </c>
      <c r="B128" s="2" t="inlineStr">
        <is>
          <t>B104/P105/run2</t>
        </is>
      </c>
      <c r="C128" s="2" t="inlineStr"/>
      <c r="D128" s="2" t="inlineStr">
        <is>
          <t>AUTO</t>
        </is>
      </c>
      <c r="E128" s="2" t="b">
        <v>0</v>
      </c>
      <c r="F128" s="2" t="inlineStr">
        <is>
          <t>{"rtl": {"val": "0"}}</t>
        </is>
      </c>
      <c r="G128" s="2" t="inlineStr">
        <is>
          <t>{"rFonts": {"ascii": "Times New Roman", "cs": "Times New Roman", "eastAsia": "Times New Roman", "hAnsi": "Times New Roman"}}</t>
        </is>
      </c>
      <c r="H128" s="2" t="inlineStr">
        <is>
          <t>{}</t>
        </is>
      </c>
    </row>
    <row r="129" ht="68" customHeight="1">
      <c r="A129" s="3" t="inlineStr">
        <is>
          <t>INV-04</t>
        </is>
      </c>
      <c r="B129" s="3" t="inlineStr">
        <is>
          <t>B105/P106/run1</t>
        </is>
      </c>
      <c r="C129" s="15" t="inlineStr">
        <is>
          <t>(chức năng ổn nhưng chế độ tối hơi khó nhìn)</t>
        </is>
      </c>
      <c r="D129" s="3" t="inlineStr">
        <is>
          <t>AUTO</t>
        </is>
      </c>
      <c r="E129" s="3" t="b">
        <v>1</v>
      </c>
      <c r="F129" s="3" t="inlineStr">
        <is>
          <t>{"rFonts": {"ascii": "Times New Roman", "cs": "Times New Roman", "eastAsia": "Times New Roman", "hAnsi": "Times New Roman"}, "i": {"val": "1"}, "iCs": {"val": "1"}, "rtl": {"val": "0"}}</t>
        </is>
      </c>
      <c r="G129" s="3" t="inlineStr">
        <is>
          <t>{"rFonts": {"ascii": "Times New Roman", "cs": "Times New Roman", "eastAsia": "Times New Roman", "hAnsi": "Times New Roman"}, "i": {"val": "1"}, "iCs": {"val": "1"}}</t>
        </is>
      </c>
      <c r="H129" s="3" t="inlineStr">
        <is>
          <t>{}</t>
        </is>
      </c>
    </row>
    <row r="130" ht="68" customHeight="1">
      <c r="A130" s="2" t="inlineStr">
        <is>
          <t>INV-04</t>
        </is>
      </c>
      <c r="B130" s="2" t="inlineStr">
        <is>
          <t>B106/P107/run1</t>
        </is>
      </c>
      <c r="C130" s="2" t="inlineStr"/>
      <c r="D130" s="2" t="inlineStr">
        <is>
          <t>AUTO</t>
        </is>
      </c>
      <c r="E130" s="2" t="b">
        <v>0</v>
      </c>
      <c r="F130" s="2" t="inlineStr">
        <is>
          <t>{"rtl": {"val": "0"}}</t>
        </is>
      </c>
      <c r="G130" s="2" t="inlineStr">
        <is>
          <t>{"rFonts": {"ascii": "Times New Roman", "cs": "Times New Roman", "eastAsia": "Times New Roman", "hAnsi": "Times New Roman"}, "i": {"val": "1"}, "iCs": {"val": "1"}}</t>
        </is>
      </c>
      <c r="H130" s="2" t="inlineStr">
        <is>
          <t>{}</t>
        </is>
      </c>
    </row>
    <row r="131" ht="68" customHeight="1">
      <c r="A131" s="3" t="inlineStr">
        <is>
          <t>INV-05</t>
        </is>
      </c>
      <c r="B131" s="3" t="inlineStr">
        <is>
          <t>B107/P108/run1</t>
        </is>
      </c>
      <c r="C131" s="3" t="inlineStr">
        <is>
          <t>- [ ] INV-05 — Xuất báo cáo: xuất Excel và PDF sau đối chiếu. Kỳ vọng: file mở được, số lượng ở từng nhóm khớp màn hình.</t>
        </is>
      </c>
      <c r="D131" s="16" t="inlineStr">
        <is>
          <t>FF9900</t>
        </is>
      </c>
      <c r="E131" s="3" t="b">
        <v>0</v>
      </c>
      <c r="F131" s="3" t="inlineStr">
        <is>
          <t>{"rFonts": {"ascii": "Times New Roman", "cs": "Times New Roman", "eastAsia": "Times New Roman", "hAnsi": "Times New Roman"}, "color": {"val": "ff9900"}, "rtl": {"val": "0"}}</t>
        </is>
      </c>
      <c r="G131" s="3" t="inlineStr">
        <is>
          <t>{"rFonts": {"ascii": "Times New Roman", "cs": "Times New Roman", "eastAsia": "Times New Roman", "hAnsi": "Times New Roman"}, "color": {"val": "ff9900"}}</t>
        </is>
      </c>
      <c r="H131" s="3" t="inlineStr">
        <is>
          <t>{}</t>
        </is>
      </c>
    </row>
    <row r="132" ht="68" customHeight="1">
      <c r="A132" s="2" t="inlineStr">
        <is>
          <t>INV-05</t>
        </is>
      </c>
      <c r="B132" s="2" t="inlineStr">
        <is>
          <t>B108/P109/run1</t>
        </is>
      </c>
      <c r="C132" s="2" t="inlineStr"/>
      <c r="D132" s="2" t="inlineStr">
        <is>
          <t>AUTO</t>
        </is>
      </c>
      <c r="E132" s="2" t="b">
        <v>0</v>
      </c>
      <c r="F132" s="2" t="inlineStr">
        <is>
          <t>{"rtl": {"val": "0"}}</t>
        </is>
      </c>
      <c r="G132" s="2" t="inlineStr">
        <is>
          <t>{"rFonts": {"ascii": "Times New Roman", "cs": "Times New Roman", "eastAsia": "Times New Roman", "hAnsi": "Times New Roman"}, "color": {"val": "ff9900"}}</t>
        </is>
      </c>
      <c r="H132" s="2" t="inlineStr">
        <is>
          <t>{}</t>
        </is>
      </c>
    </row>
    <row r="133" ht="68" customHeight="1">
      <c r="A133" s="3" t="inlineStr">
        <is>
          <t>INV-05</t>
        </is>
      </c>
      <c r="B133" s="3" t="inlineStr">
        <is>
          <t>B109/T2/R1/C1/P1/run1</t>
        </is>
      </c>
      <c r="C133" s="3" t="inlineStr"/>
      <c r="D133" s="16" t="inlineStr">
        <is>
          <t>FF9900</t>
        </is>
      </c>
      <c r="E133" s="3" t="b">
        <v>0</v>
      </c>
      <c r="F133" s="3" t="inlineStr">
        <is>
          <t>{"rFonts": {"ascii": "Times New Roman", "cs": "Times New Roman", "eastAsia": "Times New Roman", "hAnsi": "Times New Roman"}, "color": {"val": "ff9900"}}</t>
        </is>
      </c>
      <c r="G133" s="3" t="inlineStr">
        <is>
          <t>{"rFonts": {"ascii": "Times New Roman", "cs": "Times New Roman", "eastAsia": "Times New Roman", "hAnsi": "Times New Roman"}, "color": {"val": "ff9900"}}</t>
        </is>
      </c>
      <c r="H133" s="3" t="inlineStr">
        <is>
          <t>{"shd": {"fill": "auto", "val": "clear"}, "tcMar": {}, "vAlign": {"val": "top"}}</t>
        </is>
      </c>
    </row>
    <row r="134" ht="68" customHeight="1">
      <c r="A134" s="2" t="inlineStr">
        <is>
          <t>INV-05</t>
        </is>
      </c>
      <c r="B134" s="2" t="inlineStr">
        <is>
          <t>B109/T2/R1/C1/P1/run2</t>
        </is>
      </c>
      <c r="C134" s="2" t="inlineStr"/>
      <c r="D134" s="2" t="inlineStr">
        <is>
          <t>AUTO</t>
        </is>
      </c>
      <c r="E134" s="2" t="b">
        <v>0</v>
      </c>
      <c r="F134" s="2" t="inlineStr">
        <is>
          <t>{"rtl": {"val": "0"}}</t>
        </is>
      </c>
      <c r="G134" s="2" t="inlineStr">
        <is>
          <t>{"rFonts": {"ascii": "Times New Roman", "cs": "Times New Roman", "eastAsia": "Times New Roman", "hAnsi": "Times New Roman"}, "color": {"val": "ff9900"}}</t>
        </is>
      </c>
      <c r="H134" s="2" t="inlineStr">
        <is>
          <t>{"shd": {"fill": "auto", "val": "clear"}, "tcMar": {}, "vAlign": {"val": "top"}}</t>
        </is>
      </c>
    </row>
    <row r="135" ht="68" customHeight="1">
      <c r="A135" s="3" t="inlineStr">
        <is>
          <t>INV-05</t>
        </is>
      </c>
      <c r="B135" s="3" t="inlineStr">
        <is>
          <t>B109/T2/R1/C2/P1/run1</t>
        </is>
      </c>
      <c r="C135" s="3" t="inlineStr"/>
      <c r="D135" s="16" t="inlineStr">
        <is>
          <t>FF9900</t>
        </is>
      </c>
      <c r="E135" s="3" t="b">
        <v>0</v>
      </c>
      <c r="F135" s="3" t="inlineStr">
        <is>
          <t>{"rFonts": {"ascii": "Times New Roman", "cs": "Times New Roman", "eastAsia": "Times New Roman", "hAnsi": "Times New Roman"}, "color": {"val": "ff9900"}}</t>
        </is>
      </c>
      <c r="G135" s="3" t="inlineStr">
        <is>
          <t>{"rFonts": {"ascii": "Times New Roman", "cs": "Times New Roman", "eastAsia": "Times New Roman", "hAnsi": "Times New Roman"}, "color": {"val": "ff9900"}}</t>
        </is>
      </c>
      <c r="H135" s="3" t="inlineStr">
        <is>
          <t>{"shd": {"fill": "auto", "val": "clear"}, "tcMar": {}, "vAlign": {"val": "top"}}</t>
        </is>
      </c>
    </row>
    <row r="136" ht="68" customHeight="1">
      <c r="A136" s="2" t="inlineStr">
        <is>
          <t>INV-05</t>
        </is>
      </c>
      <c r="B136" s="2" t="inlineStr">
        <is>
          <t>B109/T2/R1/C2/P1/run2</t>
        </is>
      </c>
      <c r="C136" s="2" t="inlineStr"/>
      <c r="D136" s="2" t="inlineStr">
        <is>
          <t>AUTO</t>
        </is>
      </c>
      <c r="E136" s="2" t="b">
        <v>0</v>
      </c>
      <c r="F136" s="2" t="inlineStr">
        <is>
          <t>{"rtl": {"val": "0"}}</t>
        </is>
      </c>
      <c r="G136" s="2" t="inlineStr">
        <is>
          <t>{"rFonts": {"ascii": "Times New Roman", "cs": "Times New Roman", "eastAsia": "Times New Roman", "hAnsi": "Times New Roman"}, "color": {"val": "ff9900"}}</t>
        </is>
      </c>
      <c r="H136" s="2" t="inlineStr">
        <is>
          <t>{"shd": {"fill": "auto", "val": "clear"}, "tcMar": {}, "vAlign": {"val": "top"}}</t>
        </is>
      </c>
    </row>
    <row r="137" ht="68" customHeight="1">
      <c r="A137" s="3" t="inlineStr">
        <is>
          <t>INV-05</t>
        </is>
      </c>
      <c r="B137" s="3" t="inlineStr">
        <is>
          <t>B110/P112/run1</t>
        </is>
      </c>
      <c r="C137" s="15" t="inlineStr">
        <is>
          <t>(excel ổn nhưng PDF thì không)</t>
        </is>
      </c>
      <c r="D137" s="3" t="inlineStr">
        <is>
          <t>AUTO</t>
        </is>
      </c>
      <c r="E137" s="3" t="b">
        <v>1</v>
      </c>
      <c r="F137" s="3" t="inlineStr">
        <is>
          <t>{"rFonts": {"ascii": "Times New Roman", "cs": "Times New Roman", "eastAsia": "Times New Roman", "hAnsi": "Times New Roman"}, "i": {"val": "1"}, "iCs": {"val": "1"}, "rtl": {"val": "0"}}</t>
        </is>
      </c>
      <c r="G137" s="3" t="inlineStr">
        <is>
          <t>{"rFonts": {"ascii": "Times New Roman", "cs": "Times New Roman", "eastAsia": "Times New Roman", "hAnsi": "Times New Roman"}, "i": {"val": "1"}, "iCs": {"val": "1"}}</t>
        </is>
      </c>
      <c r="H137" s="3" t="inlineStr">
        <is>
          <t>{}</t>
        </is>
      </c>
    </row>
    <row r="138" ht="68" customHeight="1">
      <c r="A138" s="2" t="inlineStr">
        <is>
          <t>INV-05</t>
        </is>
      </c>
      <c r="B138" s="2" t="inlineStr">
        <is>
          <t>B111/P113/run1</t>
        </is>
      </c>
      <c r="C138" s="2" t="inlineStr"/>
      <c r="D138" s="2" t="inlineStr">
        <is>
          <t>AUTO</t>
        </is>
      </c>
      <c r="E138" s="2" t="b">
        <v>0</v>
      </c>
      <c r="F138" s="2" t="inlineStr">
        <is>
          <t>{"rtl": {"val": "0"}}</t>
        </is>
      </c>
      <c r="G138" s="2" t="inlineStr">
        <is>
          <t>{"rFonts": {"ascii": "Times New Roman", "cs": "Times New Roman", "eastAsia": "Times New Roman", "hAnsi": "Times New Roman"}, "i": {"val": "1"}, "iCs": {"val": "1"}}</t>
        </is>
      </c>
      <c r="H138" s="2" t="inlineStr">
        <is>
          <t>{}</t>
        </is>
      </c>
    </row>
    <row r="139" ht="53" customHeight="1">
      <c r="A139" s="3" t="inlineStr"/>
      <c r="B139" s="3" t="inlineStr">
        <is>
          <t>B112/P114/run1</t>
        </is>
      </c>
      <c r="C139" s="3" t="inlineStr">
        <is>
          <t>7. Dashboard, thông báo và cài đặt</t>
        </is>
      </c>
      <c r="D139" s="3" t="inlineStr">
        <is>
          <t>AUTO</t>
        </is>
      </c>
      <c r="E139" s="3" t="b">
        <v>0</v>
      </c>
      <c r="F139" s="3" t="inlineStr">
        <is>
          <t>{"rFonts": {"ascii": "Times New Roman", "cs": "Times New Roman", "eastAsia": "Times New Roman", "hAnsi": "Times New Roman"}, "rtl": {"val": "0"}}</t>
        </is>
      </c>
      <c r="G139" s="3" t="inlineStr">
        <is>
          <t>{"rFonts": {"ascii": "Times New Roman", "cs": "Times New Roman", "eastAsia": "Times New Roman", "hAnsi": "Times New Roman"}}</t>
        </is>
      </c>
      <c r="H139" s="3" t="inlineStr">
        <is>
          <t>{}</t>
        </is>
      </c>
    </row>
    <row r="140" ht="68" customHeight="1">
      <c r="A140" s="2" t="inlineStr">
        <is>
          <t>DASH-01</t>
        </is>
      </c>
      <c r="B140" s="2" t="inlineStr">
        <is>
          <t>B113/P115/run1</t>
        </is>
      </c>
      <c r="C140" s="2" t="inlineStr">
        <is>
          <t>- [ ] DASH-01 — Dashboard Admin: kiểm tra thẻ thống kê, biểu đồ, sách nổi bật và hoạt động gần đây. Kỳ vọng: các khu có dữ liệu, không hiện lỗi tải.</t>
        </is>
      </c>
      <c r="D140" s="16" t="inlineStr">
        <is>
          <t>FF9900</t>
        </is>
      </c>
      <c r="E140" s="2" t="b">
        <v>0</v>
      </c>
      <c r="F140" s="2" t="inlineStr">
        <is>
          <t>{"rFonts": {"ascii": "Times New Roman", "cs": "Times New Roman", "eastAsia": "Times New Roman", "hAnsi": "Times New Roman"}, "color": {"val": "ff9900"}, "rtl": {"val": "0"}}</t>
        </is>
      </c>
      <c r="G140" s="2" t="inlineStr">
        <is>
          <t>{"rFonts": {"ascii": "Times New Roman", "cs": "Times New Roman", "eastAsia": "Times New Roman", "hAnsi": "Times New Roman"}, "color": {"val": "ff9900"}}</t>
        </is>
      </c>
      <c r="H140" s="2" t="inlineStr">
        <is>
          <t>{}</t>
        </is>
      </c>
    </row>
    <row r="141" ht="68" customHeight="1">
      <c r="A141" s="3" t="inlineStr">
        <is>
          <t>DASH-01</t>
        </is>
      </c>
      <c r="B141" s="3" t="inlineStr">
        <is>
          <t>B114/P116/run1</t>
        </is>
      </c>
      <c r="C141" s="3" t="inlineStr"/>
      <c r="D141" s="3" t="inlineStr">
        <is>
          <t>AUTO</t>
        </is>
      </c>
      <c r="E141" s="3" t="b">
        <v>0</v>
      </c>
      <c r="F141" s="3" t="inlineStr">
        <is>
          <t>{"rtl": {"val": "0"}}</t>
        </is>
      </c>
      <c r="G141" s="3" t="inlineStr">
        <is>
          <t>{"rFonts": {"ascii": "Times New Roman", "cs": "Times New Roman", "eastAsia": "Times New Roman", "hAnsi": "Times New Roman"}, "color": {"val": "ff9900"}}</t>
        </is>
      </c>
      <c r="H141" s="3" t="inlineStr">
        <is>
          <t>{}</t>
        </is>
      </c>
    </row>
    <row r="142" ht="68" customHeight="1">
      <c r="A142" s="2" t="inlineStr">
        <is>
          <t>DASH-01</t>
        </is>
      </c>
      <c r="B142" s="2" t="inlineStr">
        <is>
          <t>B115/T3/R1/C1/P1/run1</t>
        </is>
      </c>
      <c r="C142" s="2" t="inlineStr"/>
      <c r="D142" s="16" t="inlineStr">
        <is>
          <t>FF9900</t>
        </is>
      </c>
      <c r="E142" s="2" t="b">
        <v>0</v>
      </c>
      <c r="F142" s="2" t="inlineStr">
        <is>
          <t>{"rFonts": {"ascii": "Times New Roman", "cs": "Times New Roman", "eastAsia": "Times New Roman", "hAnsi": "Times New Roman"}, "color": {"val": "ff9900"}}</t>
        </is>
      </c>
      <c r="G142" s="2" t="inlineStr">
        <is>
          <t>{"rFonts": {"ascii": "Times New Roman", "cs": "Times New Roman", "eastAsia": "Times New Roman", "hAnsi": "Times New Roman"}, "color": {"val": "ff9900"}}</t>
        </is>
      </c>
      <c r="H142" s="2" t="inlineStr">
        <is>
          <t>{"shd": {"fill": "auto", "val": "clear"}, "tcMar": {}, "vAlign": {"val": "top"}}</t>
        </is>
      </c>
    </row>
    <row r="143" ht="68" customHeight="1">
      <c r="A143" s="3" t="inlineStr">
        <is>
          <t>DASH-01</t>
        </is>
      </c>
      <c r="B143" s="3" t="inlineStr">
        <is>
          <t>B115/T3/R1/C1/P1/run2</t>
        </is>
      </c>
      <c r="C143" s="3" t="inlineStr"/>
      <c r="D143" s="3" t="inlineStr">
        <is>
          <t>AUTO</t>
        </is>
      </c>
      <c r="E143" s="3" t="b">
        <v>0</v>
      </c>
      <c r="F143" s="3" t="inlineStr">
        <is>
          <t>{"rtl": {"val": "0"}}</t>
        </is>
      </c>
      <c r="G143" s="3" t="inlineStr">
        <is>
          <t>{"rFonts": {"ascii": "Times New Roman", "cs": "Times New Roman", "eastAsia": "Times New Roman", "hAnsi": "Times New Roman"}, "color": {"val": "ff9900"}}</t>
        </is>
      </c>
      <c r="H143" s="3" t="inlineStr">
        <is>
          <t>{"shd": {"fill": "auto", "val": "clear"}, "tcMar": {}, "vAlign": {"val": "top"}}</t>
        </is>
      </c>
    </row>
    <row r="144" ht="68" customHeight="1">
      <c r="A144" s="2" t="inlineStr">
        <is>
          <t>DASH-01</t>
        </is>
      </c>
      <c r="B144" s="2" t="inlineStr">
        <is>
          <t>B115/T3/R1/C2/P1/run1</t>
        </is>
      </c>
      <c r="C144" s="2" t="inlineStr"/>
      <c r="D144" s="16" t="inlineStr">
        <is>
          <t>FF9900</t>
        </is>
      </c>
      <c r="E144" s="2" t="b">
        <v>0</v>
      </c>
      <c r="F144" s="2" t="inlineStr">
        <is>
          <t>{"rFonts": {"ascii": "Times New Roman", "cs": "Times New Roman", "eastAsia": "Times New Roman", "hAnsi": "Times New Roman"}, "color": {"val": "ff9900"}}</t>
        </is>
      </c>
      <c r="G144" s="2" t="inlineStr">
        <is>
          <t>{"rFonts": {"ascii": "Times New Roman", "cs": "Times New Roman", "eastAsia": "Times New Roman", "hAnsi": "Times New Roman"}, "color": {"val": "ff9900"}}</t>
        </is>
      </c>
      <c r="H144" s="2" t="inlineStr">
        <is>
          <t>{"shd": {"fill": "auto", "val": "clear"}, "tcMar": {}, "vAlign": {"val": "top"}}</t>
        </is>
      </c>
    </row>
    <row r="145" ht="68" customHeight="1">
      <c r="A145" s="3" t="inlineStr">
        <is>
          <t>DASH-01</t>
        </is>
      </c>
      <c r="B145" s="3" t="inlineStr">
        <is>
          <t>B115/T3/R1/C2/P1/run2</t>
        </is>
      </c>
      <c r="C145" s="3" t="inlineStr"/>
      <c r="D145" s="3" t="inlineStr">
        <is>
          <t>AUTO</t>
        </is>
      </c>
      <c r="E145" s="3" t="b">
        <v>0</v>
      </c>
      <c r="F145" s="3" t="inlineStr">
        <is>
          <t>{"rtl": {"val": "0"}}</t>
        </is>
      </c>
      <c r="G145" s="3" t="inlineStr">
        <is>
          <t>{"rFonts": {"ascii": "Times New Roman", "cs": "Times New Roman", "eastAsia": "Times New Roman", "hAnsi": "Times New Roman"}, "color": {"val": "ff9900"}}</t>
        </is>
      </c>
      <c r="H145" s="3" t="inlineStr">
        <is>
          <t>{"shd": {"fill": "auto", "val": "clear"}, "tcMar": {}, "vAlign": {"val": "top"}}</t>
        </is>
      </c>
    </row>
    <row r="146" ht="68" customHeight="1">
      <c r="A146" s="2" t="inlineStr">
        <is>
          <t>DASH-01</t>
        </is>
      </c>
      <c r="B146" s="2" t="inlineStr">
        <is>
          <t>B116/P119/run1</t>
        </is>
      </c>
      <c r="C146" s="17" t="inlineStr">
        <is>
          <t>(Độc giả hoạt động ở dashboard không khớp với độc giả ở tab quản lý độc giả. tương tự kiểm tra với các thống kê khác: tổng đầu sách, đang cho mượn)</t>
        </is>
      </c>
      <c r="D146" s="2" t="inlineStr">
        <is>
          <t>AUTO</t>
        </is>
      </c>
      <c r="E146" s="2" t="b">
        <v>1</v>
      </c>
      <c r="F146" s="2" t="inlineStr">
        <is>
          <t>{"rFonts": {"ascii": "Times New Roman", "cs": "Times New Roman", "eastAsia": "Times New Roman", "hAnsi": "Times New Roman"}, "i": {"val": "1"}, "iCs": {"val": "1"}, "rtl": {"val": "0"}}</t>
        </is>
      </c>
      <c r="G146" s="2" t="inlineStr">
        <is>
          <t>{"rFonts": {"ascii": "Times New Roman", "cs": "Times New Roman", "eastAsia": "Times New Roman", "hAnsi": "Times New Roman"}, "i": {"val": "1"}, "iCs": {"val": "1"}}</t>
        </is>
      </c>
      <c r="H146" s="2" t="inlineStr">
        <is>
          <t>{}</t>
        </is>
      </c>
    </row>
    <row r="147" ht="68" customHeight="1">
      <c r="A147" s="3" t="inlineStr">
        <is>
          <t>DASH-01</t>
        </is>
      </c>
      <c r="B147" s="3" t="inlineStr">
        <is>
          <t>B117/P120/run1</t>
        </is>
      </c>
      <c r="C147" s="3" t="inlineStr"/>
      <c r="D147" s="3" t="inlineStr">
        <is>
          <t>AUTO</t>
        </is>
      </c>
      <c r="E147" s="3" t="b">
        <v>0</v>
      </c>
      <c r="F147" s="3" t="inlineStr">
        <is>
          <t>{"rtl": {"val": "0"}}</t>
        </is>
      </c>
      <c r="G147" s="3" t="inlineStr">
        <is>
          <t>{"rFonts": {"ascii": "Times New Roman", "cs": "Times New Roman", "eastAsia": "Times New Roman", "hAnsi": "Times New Roman"}, "i": {"val": "1"}, "iCs": {"val": "1"}}</t>
        </is>
      </c>
      <c r="H147" s="3" t="inlineStr">
        <is>
          <t>{}</t>
        </is>
      </c>
    </row>
    <row r="148" ht="68" customHeight="1">
      <c r="A148" s="2" t="inlineStr">
        <is>
          <t>DASH-02</t>
        </is>
      </c>
      <c r="B148" s="2" t="inlineStr">
        <is>
          <t>B118/P121/run1</t>
        </is>
      </c>
      <c r="C148" s="2" t="inlineStr">
        <is>
          <t>- [ ] DASH-02 — PDF thống kê: xuất báo cáo. Kỳ vọng: PDF mở được, tiếng Việt không lỗi font.</t>
        </is>
      </c>
      <c r="D148" s="16" t="inlineStr">
        <is>
          <t>FF9900</t>
        </is>
      </c>
      <c r="E148" s="2" t="b">
        <v>0</v>
      </c>
      <c r="F148" s="2" t="inlineStr">
        <is>
          <t>{"rFonts": {"ascii": "Times New Roman", "cs": "Times New Roman", "eastAsia": "Times New Roman", "hAnsi": "Times New Roman"}, "color": {"val": "ff9900"}, "rtl": {"val": "0"}}</t>
        </is>
      </c>
      <c r="G148" s="2" t="inlineStr">
        <is>
          <t>{"rFonts": {"ascii": "Times New Roman", "cs": "Times New Roman", "eastAsia": "Times New Roman", "hAnsi": "Times New Roman"}, "color": {"val": "ff9900"}}</t>
        </is>
      </c>
      <c r="H148" s="2" t="inlineStr">
        <is>
          <t>{}</t>
        </is>
      </c>
    </row>
    <row r="149" ht="68" customHeight="1">
      <c r="A149" s="3" t="inlineStr">
        <is>
          <t>DASH-02</t>
        </is>
      </c>
      <c r="B149" s="3" t="inlineStr">
        <is>
          <t>B119/P122/run1</t>
        </is>
      </c>
      <c r="C149" s="15" t="inlineStr">
        <is>
          <t xml:space="preserve">(mở được nhưng lỗi font, như ở </t>
        </is>
      </c>
      <c r="D149" s="3" t="inlineStr">
        <is>
          <t>AUTO</t>
        </is>
      </c>
      <c r="E149" s="3" t="b">
        <v>1</v>
      </c>
      <c r="F149" s="3" t="inlineStr">
        <is>
          <t>{"rFonts": {"ascii": "Times New Roman", "cs": "Times New Roman", "eastAsia": "Times New Roman", "hAnsi": "Times New Roman"}, "i": {"val": "1"}, "iCs": {"val": "1"}, "rtl": {"val": "0"}}</t>
        </is>
      </c>
      <c r="G149" s="3" t="inlineStr">
        <is>
          <t>{"rFonts": {"ascii": "Times New Roman", "cs": "Times New Roman", "eastAsia": "Times New Roman", "hAnsi": "Times New Roman"}, "i": {"val": "1"}, "iCs": {"val": "1"}}</t>
        </is>
      </c>
      <c r="H149" s="3" t="inlineStr">
        <is>
          <t>{}</t>
        </is>
      </c>
    </row>
    <row r="150" ht="68" customHeight="1">
      <c r="A150" s="2" t="inlineStr">
        <is>
          <t>DASH-02</t>
        </is>
      </c>
      <c r="B150" s="2" t="inlineStr">
        <is>
          <t>B119/P122/run2</t>
        </is>
      </c>
      <c r="C150" s="2" t="inlineStr">
        <is>
          <t xml:space="preserve"> </t>
        </is>
      </c>
      <c r="D150" s="16" t="inlineStr">
        <is>
          <t>FF9900</t>
        </is>
      </c>
      <c r="E150" s="2" t="b">
        <v>0</v>
      </c>
      <c r="F150" s="2" t="inlineStr">
        <is>
          <t>{"rFonts": {"ascii": "Times New Roman", "cs": "Times New Roman", "eastAsia": "Times New Roman", "hAnsi": "Times New Roman"}, "color": {"val": "ff9900"}, "rtl": {"val": "0"}}</t>
        </is>
      </c>
      <c r="G150" s="2" t="inlineStr">
        <is>
          <t>{"rFonts": {"ascii": "Times New Roman", "cs": "Times New Roman", "eastAsia": "Times New Roman", "hAnsi": "Times New Roman"}, "i": {"val": "1"}, "iCs": {"val": "1"}}</t>
        </is>
      </c>
      <c r="H150" s="2" t="inlineStr">
        <is>
          <t>{}</t>
        </is>
      </c>
    </row>
    <row r="151" ht="68" customHeight="1">
      <c r="A151" s="3" t="inlineStr">
        <is>
          <t>DASH-02</t>
        </is>
      </c>
      <c r="B151" s="3" t="inlineStr">
        <is>
          <t>B119/P122/run3</t>
        </is>
      </c>
      <c r="C151" s="3" t="inlineStr">
        <is>
          <t>INV-05)</t>
        </is>
      </c>
      <c r="D151" s="3" t="inlineStr">
        <is>
          <t>AUTO</t>
        </is>
      </c>
      <c r="E151" s="3" t="b">
        <v>0</v>
      </c>
      <c r="F151" s="3" t="inlineStr">
        <is>
          <t>{"rFonts": {"ascii": "Times New Roman", "cs": "Times New Roman", "eastAsia": "Times New Roman", "hAnsi": "Times New Roman"}, "rtl": {"val": "0"}}</t>
        </is>
      </c>
      <c r="G151" s="3" t="inlineStr">
        <is>
          <t>{"rFonts": {"ascii": "Times New Roman", "cs": "Times New Roman", "eastAsia": "Times New Roman", "hAnsi": "Times New Roman"}, "i": {"val": "1"}, "iCs": {"val": "1"}}</t>
        </is>
      </c>
      <c r="H151" s="3" t="inlineStr">
        <is>
          <t>{}</t>
        </is>
      </c>
    </row>
    <row r="152" ht="68" customHeight="1">
      <c r="A152" s="2" t="inlineStr">
        <is>
          <t>DASH-02</t>
        </is>
      </c>
      <c r="B152" s="2" t="inlineStr">
        <is>
          <t>B119/P122/run4</t>
        </is>
      </c>
      <c r="C152" s="2" t="inlineStr"/>
      <c r="D152" s="2" t="inlineStr">
        <is>
          <t>AUTO</t>
        </is>
      </c>
      <c r="E152" s="2" t="b">
        <v>0</v>
      </c>
      <c r="F152" s="2" t="inlineStr">
        <is>
          <t>{"rtl": {"val": "0"}}</t>
        </is>
      </c>
      <c r="G152" s="2" t="inlineStr">
        <is>
          <t>{"rFonts": {"ascii": "Times New Roman", "cs": "Times New Roman", "eastAsia": "Times New Roman", "hAnsi": "Times New Roman"}, "i": {"val": "1"}, "iCs": {"val": "1"}}</t>
        </is>
      </c>
      <c r="H152" s="2" t="inlineStr">
        <is>
          <t>{}</t>
        </is>
      </c>
    </row>
    <row r="153" ht="53" customHeight="1">
      <c r="A153" s="3" t="inlineStr">
        <is>
          <t>NOTI-01</t>
        </is>
      </c>
      <c r="B153" s="3" t="inlineStr">
        <is>
          <t>B120/P123/run1</t>
        </is>
      </c>
      <c r="C153" s="3" t="inlineStr">
        <is>
          <t>- [ ] NOTI-01 — Chuông thông báo: sau RES-01 hoặc đổi mật khẩu, kiểm tra thông báo mới và số chưa đọc. Kỳ vọng: tài khoản tạo sự kiện thấy đúng thông báo.</t>
        </is>
      </c>
      <c r="D153" s="3" t="inlineStr">
        <is>
          <t>AUTO</t>
        </is>
      </c>
      <c r="E153" s="3" t="b">
        <v>0</v>
      </c>
      <c r="F153" s="3" t="inlineStr">
        <is>
          <t>{"rFonts": {"ascii": "Times New Roman", "cs": "Times New Roman", "eastAsia": "Times New Roman", "hAnsi": "Times New Roman"}, "rtl": {"val": "0"}}</t>
        </is>
      </c>
      <c r="G153" s="3" t="inlineStr">
        <is>
          <t>{"rFonts": {"ascii": "Times New Roman", "cs": "Times New Roman", "eastAsia": "Times New Roman", "hAnsi": "Times New Roman"}}</t>
        </is>
      </c>
      <c r="H153" s="3" t="inlineStr">
        <is>
          <t>{}</t>
        </is>
      </c>
    </row>
    <row r="154" ht="68" customHeight="1">
      <c r="A154" s="2" t="inlineStr">
        <is>
          <t>NOTI-02</t>
        </is>
      </c>
      <c r="B154" s="2" t="inlineStr">
        <is>
          <t>B121/P124/run1</t>
        </is>
      </c>
      <c r="C154" s="2" t="inlineStr">
        <is>
          <t>- [ ] NOTI-02 — Quản lý thông báo: đánh dấu một/tất cả đã đọc, xóa một/xóa tất cả. Kỳ vọng: số chưa đọc và danh sách cập nhật.</t>
        </is>
      </c>
      <c r="D154" s="14" t="inlineStr">
        <is>
          <t>00FF00</t>
        </is>
      </c>
      <c r="E154" s="2" t="b">
        <v>0</v>
      </c>
      <c r="F154" s="2" t="inlineStr">
        <is>
          <t>{"rFonts": {"ascii": "Times New Roman", "cs": "Times New Roman", "eastAsia": "Times New Roman", "hAnsi": "Times New Roman"}, "color": {"val": "00ff00"}, "rtl": {"val": "0"}}</t>
        </is>
      </c>
      <c r="G154" s="2" t="inlineStr">
        <is>
          <t>{"rFonts": {"ascii": "Times New Roman", "cs": "Times New Roman", "eastAsia": "Times New Roman", "hAnsi": "Times New Roman"}, "color": {"val": "00ff00"}}</t>
        </is>
      </c>
      <c r="H154" s="2" t="inlineStr">
        <is>
          <t>{}</t>
        </is>
      </c>
    </row>
    <row r="155" ht="68" customHeight="1">
      <c r="A155" s="3" t="inlineStr">
        <is>
          <t>NOTI-02</t>
        </is>
      </c>
      <c r="B155" s="3" t="inlineStr">
        <is>
          <t>B122/P125/run1</t>
        </is>
      </c>
      <c r="C155" s="3" t="inlineStr"/>
      <c r="D155" s="14" t="inlineStr">
        <is>
          <t>00FF00</t>
        </is>
      </c>
      <c r="E155" s="3" t="b">
        <v>0</v>
      </c>
      <c r="F155" s="3" t="inlineStr">
        <is>
          <t>{"rFonts": {"ascii": "Times New Roman", "cs": "Times New Roman", "eastAsia": "Times New Roman", "hAnsi": "Times New Roman"}, "color": {"val": "00ff00"}}</t>
        </is>
      </c>
      <c r="G155" s="3" t="inlineStr">
        <is>
          <t>{"rFonts": {"ascii": "Times New Roman", "cs": "Times New Roman", "eastAsia": "Times New Roman", "hAnsi": "Times New Roman"}, "color": {"val": "00ff00"}}</t>
        </is>
      </c>
      <c r="H155" s="3" t="inlineStr">
        <is>
          <t>{}</t>
        </is>
      </c>
    </row>
    <row r="156" ht="68" customHeight="1">
      <c r="A156" s="2" t="inlineStr">
        <is>
          <t>NOTI-02</t>
        </is>
      </c>
      <c r="B156" s="2" t="inlineStr">
        <is>
          <t>B122/P125/run2</t>
        </is>
      </c>
      <c r="C156" s="2" t="inlineStr"/>
      <c r="D156" s="2" t="inlineStr">
        <is>
          <t>AUTO</t>
        </is>
      </c>
      <c r="E156" s="2" t="b">
        <v>0</v>
      </c>
      <c r="F156" s="2" t="inlineStr">
        <is>
          <t>{"rtl": {"val": "0"}}</t>
        </is>
      </c>
      <c r="G156" s="2" t="inlineStr">
        <is>
          <t>{"rFonts": {"ascii": "Times New Roman", "cs": "Times New Roman", "eastAsia": "Times New Roman", "hAnsi": "Times New Roman"}, "color": {"val": "00ff00"}}</t>
        </is>
      </c>
      <c r="H156" s="2" t="inlineStr">
        <is>
          <t>{}</t>
        </is>
      </c>
    </row>
    <row r="157" ht="68" customHeight="1">
      <c r="A157" s="3" t="inlineStr">
        <is>
          <t>SET-01</t>
        </is>
      </c>
      <c r="B157" s="3" t="inlineStr">
        <is>
          <t>B123/P126/run1</t>
        </is>
      </c>
      <c r="C157" s="3" t="inlineStr">
        <is>
          <t>- [ ] SET-01 — Giao diện: đổi sáng/tối và Việt/Anh, tải lại trang. Kỳ vọng: lựa chọn được giữ sau khi tải lại.</t>
        </is>
      </c>
      <c r="D157" s="14" t="inlineStr">
        <is>
          <t>00FF00</t>
        </is>
      </c>
      <c r="E157" s="3" t="b">
        <v>0</v>
      </c>
      <c r="F157" s="3" t="inlineStr">
        <is>
          <t>{"rFonts": {"ascii": "Times New Roman", "cs": "Times New Roman", "eastAsia": "Times New Roman", "hAnsi": "Times New Roman"}, "color": {"val": "00ff00"}, "rtl": {"val": "0"}}</t>
        </is>
      </c>
      <c r="G157" s="3" t="inlineStr">
        <is>
          <t>{"rFonts": {"ascii": "Times New Roman", "cs": "Times New Roman", "eastAsia": "Times New Roman", "hAnsi": "Times New Roman"}, "color": {"val": "00ff00"}}</t>
        </is>
      </c>
      <c r="H157" s="3" t="inlineStr">
        <is>
          <t>{}</t>
        </is>
      </c>
    </row>
    <row r="158" ht="68" customHeight="1">
      <c r="A158" s="2" t="inlineStr">
        <is>
          <t>SET-01</t>
        </is>
      </c>
      <c r="B158" s="2" t="inlineStr">
        <is>
          <t>B124/P127/run1</t>
        </is>
      </c>
      <c r="C158" s="2" t="inlineStr"/>
      <c r="D158" s="2" t="inlineStr">
        <is>
          <t>AUTO</t>
        </is>
      </c>
      <c r="E158" s="2" t="b">
        <v>0</v>
      </c>
      <c r="F158" s="2" t="inlineStr">
        <is>
          <t>{"rtl": {"val": "0"}}</t>
        </is>
      </c>
      <c r="G158" s="2" t="inlineStr">
        <is>
          <t>{"rFonts": {"ascii": "Times New Roman", "cs": "Times New Roman", "eastAsia": "Times New Roman", "hAnsi": "Times New Roman"}, "color": {"val": "00ff00"}}</t>
        </is>
      </c>
      <c r="H158" s="2" t="inlineStr">
        <is>
          <t>{}</t>
        </is>
      </c>
    </row>
    <row r="159" ht="68" customHeight="1">
      <c r="A159" s="3" t="inlineStr">
        <is>
          <t>SET-01</t>
        </is>
      </c>
      <c r="B159" s="3" t="inlineStr">
        <is>
          <t>B125/T4/R1/C1/P1/run1</t>
        </is>
      </c>
      <c r="C159" s="3" t="inlineStr"/>
      <c r="D159" s="14" t="inlineStr">
        <is>
          <t>00FF00</t>
        </is>
      </c>
      <c r="E159" s="3" t="b">
        <v>0</v>
      </c>
      <c r="F159" s="3" t="inlineStr">
        <is>
          <t>{"rFonts": {"ascii": "Times New Roman", "cs": "Times New Roman", "eastAsia": "Times New Roman", "hAnsi": "Times New Roman"}, "color": {"val": "00ff00"}}</t>
        </is>
      </c>
      <c r="G159" s="3" t="inlineStr">
        <is>
          <t>{"rFonts": {"ascii": "Times New Roman", "cs": "Times New Roman", "eastAsia": "Times New Roman", "hAnsi": "Times New Roman"}, "color": {"val": "00ff00"}}</t>
        </is>
      </c>
      <c r="H159" s="3" t="inlineStr">
        <is>
          <t>{"shd": {"fill": "auto", "val": "clear"}, "tcMar": {}, "vAlign": {"val": "top"}}</t>
        </is>
      </c>
    </row>
    <row r="160" ht="68" customHeight="1">
      <c r="A160" s="2" t="inlineStr">
        <is>
          <t>SET-01</t>
        </is>
      </c>
      <c r="B160" s="2" t="inlineStr">
        <is>
          <t>B125/T4/R1/C1/P1/run2</t>
        </is>
      </c>
      <c r="C160" s="2" t="inlineStr"/>
      <c r="D160" s="2" t="inlineStr">
        <is>
          <t>AUTO</t>
        </is>
      </c>
      <c r="E160" s="2" t="b">
        <v>0</v>
      </c>
      <c r="F160" s="2" t="inlineStr">
        <is>
          <t>{"rtl": {"val": "0"}}</t>
        </is>
      </c>
      <c r="G160" s="2" t="inlineStr">
        <is>
          <t>{"rFonts": {"ascii": "Times New Roman", "cs": "Times New Roman", "eastAsia": "Times New Roman", "hAnsi": "Times New Roman"}, "color": {"val": "00ff00"}}</t>
        </is>
      </c>
      <c r="H160" s="2" t="inlineStr">
        <is>
          <t>{"shd": {"fill": "auto", "val": "clear"}, "tcMar": {}, "vAlign": {"val": "top"}}</t>
        </is>
      </c>
    </row>
    <row r="161" ht="68" customHeight="1">
      <c r="A161" s="3" t="inlineStr">
        <is>
          <t>SET-01</t>
        </is>
      </c>
      <c r="B161" s="3" t="inlineStr">
        <is>
          <t>B125/T4/R1/C2/P1/run1</t>
        </is>
      </c>
      <c r="C161" s="3" t="inlineStr"/>
      <c r="D161" s="14" t="inlineStr">
        <is>
          <t>00FF00</t>
        </is>
      </c>
      <c r="E161" s="3" t="b">
        <v>0</v>
      </c>
      <c r="F161" s="3" t="inlineStr">
        <is>
          <t>{"rFonts": {"ascii": "Times New Roman", "cs": "Times New Roman", "eastAsia": "Times New Roman", "hAnsi": "Times New Roman"}, "color": {"val": "00ff00"}}</t>
        </is>
      </c>
      <c r="G161" s="3" t="inlineStr">
        <is>
          <t>{"rFonts": {"ascii": "Times New Roman", "cs": "Times New Roman", "eastAsia": "Times New Roman", "hAnsi": "Times New Roman"}, "color": {"val": "00ff00"}}</t>
        </is>
      </c>
      <c r="H161" s="3" t="inlineStr">
        <is>
          <t>{"shd": {"fill": "auto", "val": "clear"}, "tcMar": {}, "vAlign": {"val": "top"}}</t>
        </is>
      </c>
    </row>
    <row r="162" ht="68" customHeight="1">
      <c r="A162" s="2" t="inlineStr">
        <is>
          <t>SET-01</t>
        </is>
      </c>
      <c r="B162" s="2" t="inlineStr">
        <is>
          <t>B125/T4/R1/C2/P1/run2</t>
        </is>
      </c>
      <c r="C162" s="2" t="inlineStr"/>
      <c r="D162" s="2" t="inlineStr">
        <is>
          <t>AUTO</t>
        </is>
      </c>
      <c r="E162" s="2" t="b">
        <v>0</v>
      </c>
      <c r="F162" s="2" t="inlineStr">
        <is>
          <t>{"rtl": {"val": "0"}}</t>
        </is>
      </c>
      <c r="G162" s="2" t="inlineStr">
        <is>
          <t>{"rFonts": {"ascii": "Times New Roman", "cs": "Times New Roman", "eastAsia": "Times New Roman", "hAnsi": "Times New Roman"}, "color": {"val": "00ff00"}}</t>
        </is>
      </c>
      <c r="H162" s="2" t="inlineStr">
        <is>
          <t>{"shd": {"fill": "auto", "val": "clear"}, "tcMar": {}, "vAlign": {"val": "top"}}</t>
        </is>
      </c>
    </row>
    <row r="163" ht="68" customHeight="1">
      <c r="A163" s="3" t="inlineStr">
        <is>
          <t>SET-01</t>
        </is>
      </c>
      <c r="B163" s="3" t="inlineStr">
        <is>
          <t>B126/P130/run1</t>
        </is>
      </c>
      <c r="C163" s="3" t="inlineStr"/>
      <c r="D163" s="3" t="inlineStr">
        <is>
          <t>AUTO</t>
        </is>
      </c>
      <c r="E163" s="3" t="b">
        <v>0</v>
      </c>
      <c r="F163" s="3" t="inlineStr">
        <is>
          <t>{"rtl": {"val": "0"}}</t>
        </is>
      </c>
      <c r="G163" s="3" t="inlineStr">
        <is>
          <t>{"rFonts": {"ascii": "Times New Roman", "cs": "Times New Roman", "eastAsia": "Times New Roman", "hAnsi": "Times New Roman"}, "color": {"val": "00ff00"}}</t>
        </is>
      </c>
      <c r="H163" s="3" t="inlineStr">
        <is>
          <t>{}</t>
        </is>
      </c>
    </row>
    <row r="164" ht="53" customHeight="1">
      <c r="A164" s="2" t="inlineStr">
        <is>
          <t>SET-02</t>
        </is>
      </c>
      <c r="B164" s="2" t="inlineStr">
        <is>
          <t>B127/P131/run1</t>
        </is>
      </c>
      <c r="C164" s="2" t="inlineStr">
        <is>
          <t>- [ ] SET-02 — Phân quyền cài đặt: User mở /settings. Kỳ vọng: chỉ thấy phần dành cho tài khoản/giao diện; không thấy nút quản trị tác vụ nhắc hạn.</t>
        </is>
      </c>
      <c r="D164" s="2" t="inlineStr">
        <is>
          <t>AUTO</t>
        </is>
      </c>
      <c r="E164" s="2" t="b">
        <v>0</v>
      </c>
      <c r="F164" s="2" t="inlineStr">
        <is>
          <t>{"rFonts": {"ascii": "Times New Roman", "cs": "Times New Roman", "eastAsia": "Times New Roman", "hAnsi": "Times New Roman"}, "rtl": {"val": "0"}}</t>
        </is>
      </c>
      <c r="G164" s="2" t="inlineStr">
        <is>
          <t>{"rFonts": {"ascii": "Times New Roman", "cs": "Times New Roman", "eastAsia": "Times New Roman", "hAnsi": "Times New Roman"}}</t>
        </is>
      </c>
      <c r="H164" s="2" t="inlineStr">
        <is>
          <t>{}</t>
        </is>
      </c>
    </row>
    <row r="165" ht="53" customHeight="1">
      <c r="A165" s="3" t="inlineStr"/>
      <c r="B165" s="3" t="inlineStr">
        <is>
          <t>B128/P132/run1</t>
        </is>
      </c>
      <c r="C165" s="3" t="inlineStr">
        <is>
          <t>8. Ca cần dữ liệu hoặc cấu hình bổ sung</t>
        </is>
      </c>
      <c r="D165" s="3" t="inlineStr">
        <is>
          <t>AUTO</t>
        </is>
      </c>
      <c r="E165" s="3" t="b">
        <v>0</v>
      </c>
      <c r="F165" s="3" t="inlineStr">
        <is>
          <t>{"rFonts": {"ascii": "Times New Roman", "cs": "Times New Roman", "eastAsia": "Times New Roman", "hAnsi": "Times New Roman"}, "rtl": {"val": "0"}}</t>
        </is>
      </c>
      <c r="G165" s="3" t="inlineStr">
        <is>
          <t>{"rFonts": {"ascii": "Times New Roman", "cs": "Times New Roman", "eastAsia": "Times New Roman", "hAnsi": "Times New Roman"}}</t>
        </is>
      </c>
      <c r="H165" s="3" t="inlineStr">
        <is>
          <t>{}</t>
        </is>
      </c>
    </row>
    <row r="166" ht="53" customHeight="1">
      <c r="A166" s="2" t="inlineStr">
        <is>
          <t>PAY-01</t>
        </is>
      </c>
      <c r="B166" s="2" t="inlineStr">
        <is>
          <t>B129/P133/run1</t>
        </is>
      </c>
      <c r="C166" s="2" t="inlineStr">
        <is>
          <t>- [ ] PAY-01 — Thanh toán giả lập: dùng phiếu đã có tiền phạt do nhóm chuẩn bị, mở cổng thanh toán và bấm Hủy. Kỳ vọng: chưa đánh dấu đã trả tiền.</t>
        </is>
      </c>
      <c r="D166" s="2" t="inlineStr">
        <is>
          <t>AUTO</t>
        </is>
      </c>
      <c r="E166" s="2" t="b">
        <v>0</v>
      </c>
      <c r="F166" s="2" t="inlineStr">
        <is>
          <t>{"rFonts": {"ascii": "Times New Roman", "cs": "Times New Roman", "eastAsia": "Times New Roman", "hAnsi": "Times New Roman"}, "rtl": {"val": "0"}}</t>
        </is>
      </c>
      <c r="G166" s="2" t="inlineStr">
        <is>
          <t>{"rFonts": {"ascii": "Times New Roman", "cs": "Times New Roman", "eastAsia": "Times New Roman", "hAnsi": "Times New Roman"}}</t>
        </is>
      </c>
      <c r="H166" s="2" t="inlineStr">
        <is>
          <t>{}</t>
        </is>
      </c>
    </row>
    <row r="167" ht="53" customHeight="1">
      <c r="A167" s="3" t="inlineStr">
        <is>
          <t>PAY-02</t>
        </is>
      </c>
      <c r="B167" s="3" t="inlineStr">
        <is>
          <t>B130/P134/run1</t>
        </is>
      </c>
      <c r="C167" s="3" t="inlineStr">
        <is>
          <t>- [ ] PAY-02 — Thanh toán giả lập thành công: với phiếu thử khác, xác nhận thanh toán. Kỳ vọng: hiển thị giao dịch thành công, tiền phạt được đánh dấu đã thanh toán. Đây là cổng giả lập, không phải giao dịch tiền thật.</t>
        </is>
      </c>
      <c r="D167" s="3" t="inlineStr">
        <is>
          <t>AUTO</t>
        </is>
      </c>
      <c r="E167" s="3" t="b">
        <v>0</v>
      </c>
      <c r="F167" s="3" t="inlineStr">
        <is>
          <t>{"rFonts": {"ascii": "Times New Roman", "cs": "Times New Roman", "eastAsia": "Times New Roman", "hAnsi": "Times New Roman"}, "rtl": {"val": "0"}}</t>
        </is>
      </c>
      <c r="G167" s="3" t="inlineStr">
        <is>
          <t>{"rFonts": {"ascii": "Times New Roman", "cs": "Times New Roman", "eastAsia": "Times New Roman", "hAnsi": "Times New Roman"}}</t>
        </is>
      </c>
      <c r="H167" s="3" t="inlineStr">
        <is>
          <t>{}</t>
        </is>
      </c>
    </row>
    <row r="168" ht="53" customHeight="1">
      <c r="A168" s="2" t="inlineStr">
        <is>
          <t>MAIL-01</t>
        </is>
      </c>
      <c r="B168" s="2" t="inlineStr">
        <is>
          <t>B131/P135/run1</t>
        </is>
      </c>
      <c r="C168" s="2" t="inlineStr">
        <is>
          <t>- [ ] MAIL-01 — Nhắc hạn/email: Admin kích hoạt tác vụ từ Cài đặt và kiểm tra báo cáo xử lý. Chỉ chạy khi đã cấu hình hộp thư thử hoặc Ethereal; lệnh chạy thông thường sẽ đọc SMTP trong server/.env</t>
        </is>
      </c>
      <c r="D168" s="2" t="inlineStr">
        <is>
          <t>AUTO</t>
        </is>
      </c>
      <c r="E168" s="2" t="b">
        <v>0</v>
      </c>
      <c r="F168" s="2" t="inlineStr">
        <is>
          <t>{"rFonts": {"ascii": "Times New Roman", "cs": "Times New Roman", "eastAsia": "Times New Roman", "hAnsi": "Times New Roman"}, "rtl": {"val": "0"}}</t>
        </is>
      </c>
      <c r="G168" s="2" t="inlineStr">
        <is>
          <t>{"rFonts": {"ascii": "Times New Roman", "cs": "Times New Roman", "eastAsia": "Times New Roman", "hAnsi": "Times New Roman"}}</t>
        </is>
      </c>
      <c r="H168" s="2" t="inlineStr">
        <is>
          <t>{}</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H25"/>
  <sheetViews>
    <sheetView zoomScale="85"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2" customWidth="1" min="2" max="2"/>
    <col width="20" customWidth="1" min="3" max="3"/>
    <col width="32" customWidth="1" min="4" max="4"/>
    <col width="59" customWidth="1" min="5" max="5"/>
    <col width="69" customWidth="1" min="6" max="6"/>
    <col width="87" customWidth="1" min="7" max="7"/>
    <col width="97" customWidth="1" min="8" max="8"/>
  </cols>
  <sheetData>
    <row r="1" ht="32" customHeight="1">
      <c r="A1" s="1" t="inlineStr">
        <is>
          <t>Test ID</t>
        </is>
      </c>
      <c r="B1" s="1" t="inlineStr">
        <is>
          <t>Source Position</t>
        </is>
      </c>
      <c r="C1" s="1" t="inlineStr">
        <is>
          <t>Relationship ID</t>
        </is>
      </c>
      <c r="D1" s="1" t="inlineStr">
        <is>
          <t>Original DOCX Part</t>
        </is>
      </c>
      <c r="E1" s="1" t="inlineStr">
        <is>
          <t>Extracted File</t>
        </is>
      </c>
      <c r="F1" s="1" t="inlineStr">
        <is>
          <t>SHA256</t>
        </is>
      </c>
      <c r="G1" s="1" t="inlineStr">
        <is>
          <t>Visual Observation</t>
        </is>
      </c>
      <c r="H1" s="1" t="inlineStr">
        <is>
          <t>Coverage Limit</t>
        </is>
      </c>
    </row>
    <row r="2" ht="36" customHeight="1">
      <c r="A2" s="2" t="inlineStr">
        <is>
          <t>AUTH-03</t>
        </is>
      </c>
      <c r="B2" s="2" t="inlineStr">
        <is>
          <t>B6/P6</t>
        </is>
      </c>
      <c r="C2" s="2" t="inlineStr">
        <is>
          <t>rId6</t>
        </is>
      </c>
      <c r="D2" s="2" t="inlineStr">
        <is>
          <t>word/media/image8.png</t>
        </is>
      </c>
      <c r="E2" s="2" t="inlineStr">
        <is>
          <t>evidence/AUTH-03_rId6_image8.png</t>
        </is>
      </c>
      <c r="F2" s="2" t="inlineStr">
        <is>
          <t>21219ddc5b8f2c28ccd4b63c65e43481fbbcef28f6c0e3fa5f5e5a0a933b90df</t>
        </is>
      </c>
      <c r="G2" s="2" t="inlineStr">
        <is>
          <t>Trang /login, trường email chữ khó nhìn trên nền trắng.</t>
        </is>
      </c>
      <c r="H2" s="2" t="inlineStr">
        <is>
          <t>Không ghi lại thao tác đăng xuất/hủy phiên hoặc mở lại trang bảo vệ.</t>
        </is>
      </c>
    </row>
    <row r="3" ht="38" customHeight="1">
      <c r="A3" s="3" t="inlineStr">
        <is>
          <t>BOOK-01</t>
        </is>
      </c>
      <c r="B3" s="3" t="inlineStr">
        <is>
          <t>B13/P13</t>
        </is>
      </c>
      <c r="C3" s="3" t="inlineStr">
        <is>
          <t>rId7</t>
        </is>
      </c>
      <c r="D3" s="3" t="inlineStr">
        <is>
          <t>word/media/image23.png</t>
        </is>
      </c>
      <c r="E3" s="3" t="inlineStr">
        <is>
          <t>evidence/BOOK-01_rId7_image23.png</t>
        </is>
      </c>
      <c r="F3" s="3" t="inlineStr">
        <is>
          <t>f5fc272681abee371a00a49740cbf437702459041de7f5cced4c21f2105f3b20</t>
        </is>
      </c>
      <c r="G3" s="3" t="inlineStr">
        <is>
          <t>Ô Header và ô danh mục có từ khóa Nguyễn Nhật Ánh; phần gợi ý vẫn hiển thị.</t>
        </is>
      </c>
      <c r="H3" s="3" t="inlineStr">
        <is>
          <t>Ảnh không có toàn bộ danh sách kết quả, thể loại hay trạng thái không tìm thấy; chưa chốt ô thuộc kịch bản.</t>
        </is>
      </c>
    </row>
    <row r="4" ht="36" customHeight="1">
      <c r="A4" s="2" t="inlineStr">
        <is>
          <t>BOOK-04</t>
        </is>
      </c>
      <c r="B4" s="2" t="inlineStr">
        <is>
          <t>B19/P19</t>
        </is>
      </c>
      <c r="C4" s="2" t="inlineStr">
        <is>
          <t>rId8</t>
        </is>
      </c>
      <c r="D4" s="2" t="inlineStr">
        <is>
          <t>word/media/image14.png</t>
        </is>
      </c>
      <c r="E4" s="2" t="inlineStr">
        <is>
          <t>evidence/BOOK-04_rId8_image14.png</t>
        </is>
      </c>
      <c r="F4" s="2" t="inlineStr">
        <is>
          <t>bfed2cb721b735e7d4cabf1a1387e2622635bda8938b0aa93b2186a1a0f2b563</t>
        </is>
      </c>
      <c r="G4" s="2" t="inlineStr">
        <is>
          <t>Form thêm Bong bóng lên trời, ISBN 978-604-1-19820-3, số lượng 4, còn lại 1.</t>
        </is>
      </c>
      <c r="H4" s="2" t="inlineStr">
        <is>
          <t>Chỉ là form trước lưu, khác dữ liệu 2 bản; không chứng minh đầu sách/barcode/khả dụng sau tạo.</t>
        </is>
      </c>
    </row>
    <row r="5" ht="38" customHeight="1">
      <c r="A5" s="3" t="inlineStr">
        <is>
          <t>RES-01</t>
        </is>
      </c>
      <c r="B5" s="3" t="inlineStr">
        <is>
          <t>B36/P36</t>
        </is>
      </c>
      <c r="C5" s="3" t="inlineStr">
        <is>
          <t>rId9</t>
        </is>
      </c>
      <c r="D5" s="3" t="inlineStr">
        <is>
          <t>word/media/image10.png</t>
        </is>
      </c>
      <c r="E5" s="3" t="inlineStr">
        <is>
          <t>evidence/RES-01_rId9_image10.png</t>
        </is>
      </c>
      <c r="F5" s="3" t="inlineStr">
        <is>
          <t>23c5eaf15a091279ea99a69adc823241e93ec4127652bc5033c92be738a23ee5</t>
        </is>
      </c>
      <c r="G5" s="3" t="inlineStr">
        <is>
          <t>Hồ sơ có sách đặt trước Tuổi Thơ Dữ Dội, nhãn Chờ nhận sách và thông báo đặt trước thành công.</t>
        </is>
      </c>
      <c r="H5" s="3" t="inlineStr">
        <is>
          <t>Không hiển thị enum API WAITING hay ảnh sách 0 bản tại thời điểm thao tác; xác nhận xanh là nguồn bổ sung.</t>
        </is>
      </c>
    </row>
    <row r="6" ht="38" customHeight="1">
      <c r="A6" s="2" t="inlineStr">
        <is>
          <t>RES-03</t>
        </is>
      </c>
      <c r="B6" s="2" t="inlineStr">
        <is>
          <t>B40/P40</t>
        </is>
      </c>
      <c r="C6" s="2" t="inlineStr">
        <is>
          <t>rId10</t>
        </is>
      </c>
      <c r="D6" s="2" t="inlineStr">
        <is>
          <t>word/media/image22.png</t>
        </is>
      </c>
      <c r="E6" s="2" t="inlineStr">
        <is>
          <t>evidence/RES-03_rId10_image22.png</t>
        </is>
      </c>
      <c r="F6" s="2" t="inlineStr">
        <is>
          <t>42e3eb1a82a388403524dd3ef1409638fd303222f93d0b177025316591202f01</t>
        </is>
      </c>
      <c r="G6" s="2" t="inlineStr">
        <is>
          <t>Toast đã đăng ký đặt trước đầu sách này, trạng thái Đang chờ sách.</t>
        </is>
      </c>
      <c r="H6" s="2" t="inlineStr">
        <is>
          <t>Không có ảnh trước/sau hoặc số yêu cầu; màu cam trên run chỉ chứa ảnh không đổi trạng thái RES-03 xanh.</t>
        </is>
      </c>
    </row>
    <row r="7" ht="36" customHeight="1">
      <c r="A7" s="3" t="inlineStr">
        <is>
          <t>RES-04</t>
        </is>
      </c>
      <c r="B7" s="3" t="inlineStr">
        <is>
          <t>B42/P42</t>
        </is>
      </c>
      <c r="C7" s="3" t="inlineStr">
        <is>
          <t>rId11</t>
        </is>
      </c>
      <c r="D7" s="3" t="inlineStr">
        <is>
          <t>word/media/image3.png</t>
        </is>
      </c>
      <c r="E7" s="3" t="inlineStr">
        <is>
          <t>evidence/RES-04_rId11_image3.png</t>
        </is>
      </c>
      <c r="F7" s="3" t="inlineStr">
        <is>
          <t>58806c69ed92fdfefe138c27a9c9140d086f1141256d3cabff4c71e0c4747ea2</t>
        </is>
      </c>
      <c r="G7" s="3" t="inlineStr">
        <is>
          <t>Hồ sơ hiển thị Tuổi Thơ Dữ Dội Đã nhận sách; lịch sử nhìn thấy có Tắt Đèn.</t>
        </is>
      </c>
      <c r="H7" s="3" t="inlineStr">
        <is>
          <t>Không có màn hình Admin chuyển trạng thái/thông báo NOTIFIED; không kết luận nghiệp vụ Loan.</t>
        </is>
      </c>
    </row>
    <row r="8" ht="38" customHeight="1">
      <c r="A8" s="2" t="inlineStr">
        <is>
          <t>RES-05</t>
        </is>
      </c>
      <c r="B8" s="2" t="inlineStr">
        <is>
          <t>B45/P45</t>
        </is>
      </c>
      <c r="C8" s="2" t="inlineStr">
        <is>
          <t>rId12</t>
        </is>
      </c>
      <c r="D8" s="2" t="inlineStr">
        <is>
          <t>word/media/image9.png</t>
        </is>
      </c>
      <c r="E8" s="2" t="inlineStr">
        <is>
          <t>evidence/RES-05_rId12_image9.png</t>
        </is>
      </c>
      <c r="F8" s="2" t="inlineStr">
        <is>
          <t>7f882f0fa519cd335d5c3245a0148194abd7c75084be8cac389739869bab26ff</t>
        </is>
      </c>
      <c r="G8" s="2" t="inlineStr">
        <is>
          <t>Màn hình quản lý mượn có danh sách phiếu và nút Gia hạn/Thu hồi.</t>
        </is>
      </c>
      <c r="H8" s="2" t="inlineStr">
        <is>
          <t>Không hiển thị hủy đặt trước/CANCELLED; chỉ liên kết ảnh theo vị trí trong manual, PASS RES-05 dựa trên đánh dấu xanh.</t>
        </is>
      </c>
    </row>
    <row r="9" ht="36" customHeight="1">
      <c r="A9" s="3" t="inlineStr">
        <is>
          <t>MEM-01</t>
        </is>
      </c>
      <c r="B9" s="3" t="inlineStr">
        <is>
          <t>B59/P59</t>
        </is>
      </c>
      <c r="C9" s="3" t="inlineStr">
        <is>
          <t>rId13</t>
        </is>
      </c>
      <c r="D9" s="3" t="inlineStr">
        <is>
          <t>word/media/image2.png</t>
        </is>
      </c>
      <c r="E9" s="3" t="inlineStr">
        <is>
          <t>evidence/MEM-01_rId13_image2.png</t>
        </is>
      </c>
      <c r="F9" s="3" t="inlineStr">
        <is>
          <t>6c12da10b317cdb6f08d9603decf7201f9626c7434e952a6ab61aee190192635</t>
        </is>
      </c>
      <c r="G9" s="3" t="inlineStr">
        <is>
          <t>Tab thành viên tìm user: tổng 5, hoạt động 4, blacklist 1; có các thẻ kết quả.</t>
        </is>
      </c>
      <c r="H9" s="3" t="inlineStr">
        <is>
          <t>Chưa ghi từng lần lọc và dữ liệu đối chứng; màu đỏ ở run chỉ chứa ảnh không phủ định MEM-01 xanh.</t>
        </is>
      </c>
    </row>
    <row r="10" ht="38" customHeight="1">
      <c r="A10" s="2" t="inlineStr">
        <is>
          <t>MEM-02</t>
        </is>
      </c>
      <c r="B10" s="2" t="inlineStr">
        <is>
          <t>B63/P63</t>
        </is>
      </c>
      <c r="C10" s="2" t="inlineStr">
        <is>
          <t>rId14</t>
        </is>
      </c>
      <c r="D10" s="2" t="inlineStr">
        <is>
          <t>word/media/image24.png</t>
        </is>
      </c>
      <c r="E10" s="2" t="inlineStr">
        <is>
          <t>evidence/MEM-02_rId14_image24.png</t>
        </is>
      </c>
      <c r="F10" s="2" t="inlineStr">
        <is>
          <t>26f0426fc16033f8ba5dfc25781b309a0e49ec942d86ff8fb07a4bdddea3c912</t>
        </is>
      </c>
      <c r="G10" s="2" t="inlineStr">
        <is>
          <t>Form thêm thành viên trống, không có dấu * ở nhãn.</t>
        </is>
      </c>
      <c r="H10" s="2" t="inlineStr">
        <is>
          <t>Không chứng minh email sai đã lưu hay đăng nhập thất bại; lỗi DEF-001 được xác nhận bằng ghi chú Tester.</t>
        </is>
      </c>
    </row>
    <row r="11" ht="36" customHeight="1">
      <c r="A11" s="3" t="inlineStr">
        <is>
          <t>MEM-03</t>
        </is>
      </c>
      <c r="B11" s="3" t="inlineStr">
        <is>
          <t>B71/P71</t>
        </is>
      </c>
      <c r="C11" s="3" t="inlineStr">
        <is>
          <t>rId15</t>
        </is>
      </c>
      <c r="D11" s="3" t="inlineStr">
        <is>
          <t>word/media/image18.png</t>
        </is>
      </c>
      <c r="E11" s="3" t="inlineStr">
        <is>
          <t>evidence/MEM-03_rId15_image18.png</t>
        </is>
      </c>
      <c r="F11" s="3" t="inlineStr">
        <is>
          <t>4520b0ec57f92d821acd86282bf658958ad62b373cff37447420e6b72992cb6e</t>
        </is>
      </c>
      <c r="G11" s="3" t="inlineStr">
        <is>
          <t>Form email user@library.com và toast User already exists.</t>
        </is>
      </c>
      <c r="H11" s="3" t="inlineStr">
        <is>
          <t>Không có đối soát danh sách trước/sau; xanh là xác nhận bổ sung không tạo email trùng.</t>
        </is>
      </c>
    </row>
    <row r="12" ht="36" customHeight="1">
      <c r="A12" s="2" t="inlineStr">
        <is>
          <t>MEM-04</t>
        </is>
      </c>
      <c r="B12" s="2" t="inlineStr">
        <is>
          <t>B74/P74</t>
        </is>
      </c>
      <c r="C12" s="2" t="inlineStr">
        <is>
          <t>rId16</t>
        </is>
      </c>
      <c r="D12" s="2" t="inlineStr">
        <is>
          <t>word/media/image20.png</t>
        </is>
      </c>
      <c r="E12" s="2" t="inlineStr">
        <is>
          <t>evidence/MEM-04_rId16_image20.png</t>
        </is>
      </c>
      <c r="F12" s="2" t="inlineStr">
        <is>
          <t>2c846fe6f013b1dd55fed4f47712cc5899f7b88e9421fb8b21f6fc49f24ec765</t>
        </is>
      </c>
      <c r="G12" s="2" t="inlineStr">
        <is>
          <t>Toast tài khoản blacklist không thể mượn sách và cần liên hệ thủ thư.</t>
        </is>
      </c>
      <c r="H12" s="2" t="inlineStr">
        <is>
          <t>Chưa có ảnh Admin gỡ blacklist/bộ lọc sau gỡ; không tạo kết quả kiểm thử luồng mượn riêng.</t>
        </is>
      </c>
    </row>
    <row r="13" ht="36" customHeight="1">
      <c r="A13" s="3" t="inlineStr">
        <is>
          <t>MEM-05</t>
        </is>
      </c>
      <c r="B13" s="3" t="inlineStr">
        <is>
          <t>B87/T1/R1/C1/P1</t>
        </is>
      </c>
      <c r="C13" s="3" t="inlineStr">
        <is>
          <t>rId17</t>
        </is>
      </c>
      <c r="D13" s="3" t="inlineStr">
        <is>
          <t>word/media/image12.png</t>
        </is>
      </c>
      <c r="E13" s="3" t="inlineStr">
        <is>
          <t>evidence/MEM-05_rId17_image12.png</t>
        </is>
      </c>
      <c r="F13" s="3" t="inlineStr">
        <is>
          <t>91bd691614a572be3f4b9ba985760bf59a01d246954a8e6a6d6accc29f4e04c9</t>
        </is>
      </c>
      <c r="G13" s="3" t="inlineStr">
        <is>
          <t>Form cùng email abc@bac.com chọn Lecturer (tối đa 15 cuốn).</t>
        </is>
      </c>
      <c r="H13" s="3" t="inlineStr">
        <is>
          <t>Không phải nhánh ADMIN/PREMIUM nêu trong kịch bản; cần xem kèm rId18.</t>
        </is>
      </c>
    </row>
    <row r="14" ht="36" customHeight="1">
      <c r="A14" s="2" t="inlineStr">
        <is>
          <t>MEM-05</t>
        </is>
      </c>
      <c r="B14" s="2" t="inlineStr">
        <is>
          <t>B87/T1/R1/C2/P1</t>
        </is>
      </c>
      <c r="C14" s="2" t="inlineStr">
        <is>
          <t>rId18</t>
        </is>
      </c>
      <c r="D14" s="2" t="inlineStr">
        <is>
          <t>word/media/image16.png</t>
        </is>
      </c>
      <c r="E14" s="2" t="inlineStr">
        <is>
          <t>evidence/MEM-05_rId18_image16.png</t>
        </is>
      </c>
      <c r="F14" s="2" t="inlineStr">
        <is>
          <t>3312bb9e84c52f97a01d5104d94fcb03867e013a1cbb163b76e2ebcceb42aecb</t>
        </is>
      </c>
      <c r="G14" s="2" t="inlineStr">
        <is>
          <t>Thẻ cùng email abc@bac.com hiển thị STANDARD, tối đa 5 cuốn.</t>
        </is>
      </c>
      <c r="H14" s="2" t="inlineStr">
        <is>
          <t>Xác nhận sai hạng khi xem cùng rId17/ghi chú; chưa có kết quả nhánh ADMIN.</t>
        </is>
      </c>
    </row>
    <row r="15" ht="36" customHeight="1">
      <c r="A15" s="3" t="inlineStr">
        <is>
          <t>INV-01</t>
        </is>
      </c>
      <c r="B15" s="3" t="inlineStr">
        <is>
          <t>B93/P94</t>
        </is>
      </c>
      <c r="C15" s="3" t="inlineStr">
        <is>
          <t>rId19</t>
        </is>
      </c>
      <c r="D15" s="3" t="inlineStr">
        <is>
          <t>word/media/image15.png</t>
        </is>
      </c>
      <c r="E15" s="3" t="inlineStr">
        <is>
          <t>evidence/INV-01_rId19_image15.png</t>
        </is>
      </c>
      <c r="F15" s="3" t="inlineStr">
        <is>
          <t>368af983bb13db3aa700e18d0cc75711769c463c73a51508578045cd7e9f5e18</t>
        </is>
      </c>
      <c r="G15" s="3" t="inlineStr">
        <is>
          <t>Danh sách dự kiến AVAILABLE, tổng 166 bản sao; các dòng nhìn thấy có AVAILABLE.</t>
        </is>
      </c>
      <c r="H15" s="3" t="inlineStr">
        <is>
          <t>Không thể đối chiếu toàn bộ166 bản bằng một ảnh; không thấy thao tác tìm barcode riêng.</t>
        </is>
      </c>
    </row>
    <row r="16" ht="36" customHeight="1">
      <c r="A16" s="2" t="inlineStr">
        <is>
          <t>INV-02</t>
        </is>
      </c>
      <c r="B16" s="2" t="inlineStr">
        <is>
          <t>B98/P99</t>
        </is>
      </c>
      <c r="C16" s="2" t="inlineStr">
        <is>
          <t>rId20</t>
        </is>
      </c>
      <c r="D16" s="2" t="inlineStr">
        <is>
          <t>word/media/image11.png</t>
        </is>
      </c>
      <c r="E16" s="2" t="inlineStr">
        <is>
          <t>evidence/INV-02_rId20_image11.png</t>
        </is>
      </c>
      <c r="F16" s="2" t="inlineStr">
        <is>
          <t>793c2dacb060a87b175c9f5f75cb44a39ff82827435f10ef7783149ecbd44c56</t>
        </is>
      </c>
      <c r="G16" s="2" t="inlineStr">
        <is>
          <t>Toast ghi nhận BC-076691-003; màn hình có 2 mã đã quét.</t>
        </is>
      </c>
      <c r="H16" s="2" t="inlineStr">
        <is>
          <t>Chưa thấy barcode đó trong nhóm Sách hợp lệ sau đối chiếu; PASS dựa thêm đánh dấu xanh.</t>
        </is>
      </c>
    </row>
    <row r="17" ht="36" customHeight="1">
      <c r="A17" s="3" t="inlineStr">
        <is>
          <t>INV-03</t>
        </is>
      </c>
      <c r="B17" s="3" t="inlineStr">
        <is>
          <t>B101/P102</t>
        </is>
      </c>
      <c r="C17" s="3" t="inlineStr">
        <is>
          <t>rId21</t>
        </is>
      </c>
      <c r="D17" s="3" t="inlineStr">
        <is>
          <t>word/media/image21.png</t>
        </is>
      </c>
      <c r="E17" s="3" t="inlineStr">
        <is>
          <t>evidence/INV-03_rId21_image21.png</t>
        </is>
      </c>
      <c r="F17" s="3" t="inlineStr">
        <is>
          <t>80d38cc769dcb196f4e297dd4d7803343aeb0d90b31de03717996a7c0389badc</t>
        </is>
      </c>
      <c r="G17" s="3" t="inlineStr">
        <is>
          <t>Toast BC-123123-003 đã quét trước đó; danh sách vẫn 2 mã.</t>
        </is>
      </c>
      <c r="H17" s="3" t="inlineStr">
        <is>
          <t>Không có ảnh lần quét đầu; hỗ trợ ghi nhận xanh không tính trùng.</t>
        </is>
      </c>
    </row>
    <row r="18" ht="36" customHeight="1">
      <c r="A18" s="2" t="inlineStr">
        <is>
          <t>INV-04</t>
        </is>
      </c>
      <c r="B18" s="2" t="inlineStr">
        <is>
          <t>B104/P105</t>
        </is>
      </c>
      <c r="C18" s="2" t="inlineStr">
        <is>
          <t>rId22</t>
        </is>
      </c>
      <c r="D18" s="2" t="inlineStr">
        <is>
          <t>word/media/image19.png</t>
        </is>
      </c>
      <c r="E18" s="2" t="inlineStr">
        <is>
          <t>evidence/INV-04_rId22_image19.png</t>
        </is>
      </c>
      <c r="F18" s="2" t="inlineStr">
        <is>
          <t>3cf2300299cff9582187acbf82ad299d593b85ed3d1648c9d162c4b5fd8afc3d</t>
        </is>
      </c>
      <c r="G18" s="2" t="inlineStr">
        <is>
          <t>Kết quả 2 hợp lệ, 164 thiếu, 1 bất thường; danh sách quét 3 mã; chế độ tối khó đọc.</t>
        </is>
      </c>
      <c r="H18" s="2" t="inlineStr">
        <is>
          <t>Không có toàn bộ danh sách nhóm/mapping từng mã lạ; Tester ghi chức năng ổn.</t>
        </is>
      </c>
    </row>
    <row r="19" ht="36" customHeight="1">
      <c r="A19" s="3" t="inlineStr">
        <is>
          <t>INV-05</t>
        </is>
      </c>
      <c r="B19" s="3" t="inlineStr">
        <is>
          <t>B109/T2/R1/C1/P1</t>
        </is>
      </c>
      <c r="C19" s="3" t="inlineStr">
        <is>
          <t>rId23</t>
        </is>
      </c>
      <c r="D19" s="3" t="inlineStr">
        <is>
          <t>word/media/image13.png</t>
        </is>
      </c>
      <c r="E19" s="3" t="inlineStr">
        <is>
          <t>evidence/INV-05_rId23_image13.png</t>
        </is>
      </c>
      <c r="F19" s="3" t="inlineStr">
        <is>
          <t>18764c55fdb4cbbcc399a9d69a9a9ccef17127007486e0b8795a0553d28fa035</t>
        </is>
      </c>
      <c r="G19" s="3" t="inlineStr">
        <is>
          <t>Excel mở trong WPS: dự kiến166, quét3, hợp lệ2, thiếu164, bất thường1.</t>
        </is>
      </c>
      <c r="H19" s="3" t="inlineStr">
        <is>
          <t>Không có file Excel gốc kèm nguồn; chỉ kiểm chứng số lượng nhìn thấy.</t>
        </is>
      </c>
    </row>
    <row r="20" ht="36" customHeight="1">
      <c r="A20" s="2" t="inlineStr">
        <is>
          <t>INV-05</t>
        </is>
      </c>
      <c r="B20" s="2" t="inlineStr">
        <is>
          <t>B109/T2/R1/C2/P1</t>
        </is>
      </c>
      <c r="C20" s="2" t="inlineStr">
        <is>
          <t>rId24</t>
        </is>
      </c>
      <c r="D20" s="2" t="inlineStr">
        <is>
          <t>word/media/image4.png</t>
        </is>
      </c>
      <c r="E20" s="2" t="inlineStr">
        <is>
          <t>evidence/INV-05_rId24_image4.png</t>
        </is>
      </c>
      <c r="F20" s="2" t="inlineStr">
        <is>
          <t>fd2f56c2a68a14781aece8c12fcdfd30549c317a3b3ab8652d25cfa9745b9d87</t>
        </is>
      </c>
      <c r="G20" s="2" t="inlineStr">
        <is>
          <t>PDF kiểm kê mở với cùng số lượng166/3/2/164/1, tên tiếng Việt trong chi tiết bị lỗi.</t>
        </is>
      </c>
      <c r="H20" s="2" t="inlineStr">
        <is>
          <t>Đây là PDF kiểm kê INV-05, không phải PDF thống kê DASH-02; không thay evidence Dashboard.</t>
        </is>
      </c>
    </row>
    <row r="21" ht="38" customHeight="1">
      <c r="A21" s="3" t="inlineStr">
        <is>
          <t>DASH-01</t>
        </is>
      </c>
      <c r="B21" s="3" t="inlineStr">
        <is>
          <t>B115/T3/R1/C1/P1</t>
        </is>
      </c>
      <c r="C21" s="3" t="inlineStr">
        <is>
          <t>rId25</t>
        </is>
      </c>
      <c r="D21" s="3" t="inlineStr">
        <is>
          <t>word/media/image7.png</t>
        </is>
      </c>
      <c r="E21" s="3" t="inlineStr">
        <is>
          <t>evidence/DASH-01_rId25_image7.png</t>
        </is>
      </c>
      <c r="F21" s="3" t="inlineStr">
        <is>
          <t>c40e09628b9ecae7f914580ace4186c95f5999786dd91d5031f3c7f3cae5db9a</t>
        </is>
      </c>
      <c r="G21" s="3" t="inlineStr">
        <is>
          <t>Dashboard: tổng đầu sách32, độc giả hoạt động3, đang mượn40, quá hạn0; có phần biểu đồ/sách đọc nhiều.</t>
        </is>
      </c>
      <c r="H21" s="3" t="inlineStr">
        <is>
          <t>Ảnh cắt phần dưới, chưa có đủ hoạt động gần đây; không có snapshot cùng thời điểm với tab thành viên.</t>
        </is>
      </c>
    </row>
    <row r="22" ht="38" customHeight="1">
      <c r="A22" s="2" t="inlineStr">
        <is>
          <t>DASH-01</t>
        </is>
      </c>
      <c r="B22" s="2" t="inlineStr">
        <is>
          <t>B115/T3/R1/C2/P1</t>
        </is>
      </c>
      <c r="C22" s="2" t="inlineStr">
        <is>
          <t>rId26</t>
        </is>
      </c>
      <c r="D22" s="2" t="inlineStr">
        <is>
          <t>word/media/image5.png</t>
        </is>
      </c>
      <c r="E22" s="2" t="inlineStr">
        <is>
          <t>evidence/DASH-01_rId26_image5.png</t>
        </is>
      </c>
      <c r="F22" s="2" t="inlineStr">
        <is>
          <t>587257bca82477986af5d7bf77f3c7b8d42607b9e47e61b5762098e078499d57</t>
        </is>
      </c>
      <c r="G22" s="2" t="inlineStr">
        <is>
          <t>Nhiều thẻ thành viên Hoạt động, gồm tài khoản email sai định dạng fads.</t>
        </is>
      </c>
      <c r="H22" s="2" t="inlineStr">
        <is>
          <t>Không có thời điểm/định nghĩa KPI; không gán email fads cho lần lỗi MEM-02 vì chưa có mapping danh tính.</t>
        </is>
      </c>
    </row>
    <row r="23" ht="36" customHeight="1">
      <c r="A23" s="3" t="inlineStr">
        <is>
          <t>NOTI-02</t>
        </is>
      </c>
      <c r="B23" s="3" t="inlineStr">
        <is>
          <t>B122/P125</t>
        </is>
      </c>
      <c r="C23" s="3" t="inlineStr">
        <is>
          <t>rId27</t>
        </is>
      </c>
      <c r="D23" s="3" t="inlineStr">
        <is>
          <t>word/media/image17.png</t>
        </is>
      </c>
      <c r="E23" s="3" t="inlineStr">
        <is>
          <t>evidence/NOTI-02_rId27_image17.png</t>
        </is>
      </c>
      <c r="F23" s="3" t="inlineStr">
        <is>
          <t>e99c1ccc992749db0203b79c56e77700b7e43395d18e424e9882a28be7a1016a</t>
        </is>
      </c>
      <c r="G23" s="3" t="inlineStr">
        <is>
          <t>Toast đã đánh dấu tất cả thông báo là đã đọc; danh sách thông báo nhìn thấy.</t>
        </is>
      </c>
      <c r="H23" s="3" t="inlineStr">
        <is>
          <t>Không có ảnh từng thao tác đọc một/xóa một/xóa tất cả; PASS dựa trên xác nhận xanh toàn kịch bản.</t>
        </is>
      </c>
    </row>
    <row r="24" ht="36" customHeight="1">
      <c r="A24" s="2" t="inlineStr">
        <is>
          <t>SET-01</t>
        </is>
      </c>
      <c r="B24" s="2" t="inlineStr">
        <is>
          <t>B125/T4/R1/C1/P1</t>
        </is>
      </c>
      <c r="C24" s="2" t="inlineStr">
        <is>
          <t>rId28</t>
        </is>
      </c>
      <c r="D24" s="2" t="inlineStr">
        <is>
          <t>word/media/image1.png</t>
        </is>
      </c>
      <c r="E24" s="2" t="inlineStr">
        <is>
          <t>evidence/SET-01_rId28_image1.png</t>
        </is>
      </c>
      <c r="F24" s="2" t="inlineStr">
        <is>
          <t>bf0e9005064b57b52d5831449a62fbcd45923f20a48be1c74e8e78e1abc5b573</t>
        </is>
      </c>
      <c r="G24" s="2" t="inlineStr">
        <is>
          <t>Cài đặt tài khoản/giao diện tiếng Việt và chế độ tối.</t>
        </is>
      </c>
      <c r="H24" s="2" t="inlineStr">
        <is>
          <t>Không chứng minh đã tải lại trang/lựa chọn được giữ; không dùng để kết luận SET-02 chưa chạy.</t>
        </is>
      </c>
    </row>
    <row r="25" ht="38" customHeight="1">
      <c r="A25" s="3" t="inlineStr">
        <is>
          <t>SET-01</t>
        </is>
      </c>
      <c r="B25" s="3" t="inlineStr">
        <is>
          <t>B125/T4/R1/C2/P1</t>
        </is>
      </c>
      <c r="C25" s="3" t="inlineStr">
        <is>
          <t>rId29</t>
        </is>
      </c>
      <c r="D25" s="3" t="inlineStr">
        <is>
          <t>word/media/image6.png</t>
        </is>
      </c>
      <c r="E25" s="3" t="inlineStr">
        <is>
          <t>evidence/SET-01_rId29_image6.png</t>
        </is>
      </c>
      <c r="F25" s="3" t="inlineStr">
        <is>
          <t>8be4e677b84b574dde8491ed91cf584da06a7e86151ff5d5b649337926313e01</t>
        </is>
      </c>
      <c r="G25" s="3" t="inlineStr">
        <is>
          <t>Cài đặt tài khoản/giao diện tiếng Anh và chế độ sáng.</t>
        </is>
      </c>
      <c r="H25" s="3" t="inlineStr">
        <is>
          <t>Không chứng minh đã tải lại trang/lựa chọn được giữ; không thấy toàn bộ trang để kết luận quyền quản trị.</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fitToPage="1"/>
  </sheetPr>
  <dimension ref="A1:D11"/>
  <sheetViews>
    <sheetView zoomScale="85" workbookViewId="0">
      <pane ySplit="1" topLeftCell="A2" activePane="bottomLeft" state="frozen"/>
      <selection pane="bottomLeft" activeCell="A1" sqref="A1"/>
    </sheetView>
  </sheetViews>
  <sheetFormatPr baseColWidth="8" defaultRowHeight="15"/>
  <cols>
    <col width="33" customWidth="1" min="1" max="1"/>
    <col width="28" customWidth="1" min="2" max="2"/>
    <col width="92" customWidth="1" min="3" max="3"/>
    <col width="85" customWidth="1" min="4" max="4"/>
  </cols>
  <sheetData>
    <row r="1" ht="32" customHeight="1">
      <c r="A1" s="1" t="inlineStr">
        <is>
          <t>Original Test ID</t>
        </is>
      </c>
      <c r="B1" s="1" t="inlineStr">
        <is>
          <t>Proposed Child IDs</t>
        </is>
      </c>
      <c r="C1" s="1" t="inlineStr">
        <is>
          <t>Independent Cases</t>
        </is>
      </c>
      <c r="D1" s="1" t="inlineStr">
        <is>
          <t>Constraint</t>
        </is>
      </c>
    </row>
    <row r="2" ht="38" customHeight="1">
      <c r="A2" s="2" t="inlineStr">
        <is>
          <t>AUTH-01</t>
        </is>
      </c>
      <c r="B2" s="2" t="inlineStr">
        <is>
          <t>AUTH-01-A/B/C</t>
        </is>
      </c>
      <c r="C2" s="2" t="inlineStr">
        <is>
          <t>Đăng nhập Admin / User / mật khẩu sai</t>
        </is>
      </c>
      <c r="D2" s="2" t="inlineStr">
        <is>
          <t>Chỉ đề xuất, không tạo dòng Test Results hoặc kết quả con. OTP là ca bổ sung sau chốt yêu cầu.</t>
        </is>
      </c>
    </row>
    <row r="3" ht="36" customHeight="1">
      <c r="A3" s="3" t="inlineStr">
        <is>
          <t>AUTH-02, AUTH-05, AUTH-06</t>
        </is>
      </c>
      <c r="B3" s="3" t="inlineStr">
        <is>
          <t>-A/B/C</t>
        </is>
      </c>
      <c r="C3" s="3" t="inlineStr">
        <is>
          <t>Đăng ký mới/trùng; đổi mật khẩu sai/đúng/đăng nhập; OTP sai/đúng</t>
        </is>
      </c>
      <c r="D3" s="3" t="inlineStr">
        <is>
          <t>Giữ testcase gốc; chưa ghi Actual từng nhánh nên không gán trạng thái testcase con.</t>
        </is>
      </c>
    </row>
    <row r="4" ht="36" customHeight="1">
      <c r="A4" s="2" t="inlineStr">
        <is>
          <t>BOOK-01</t>
        </is>
      </c>
      <c r="B4" s="2" t="inlineStr">
        <is>
          <t>BOOK-01-A/B/C/D</t>
        </is>
      </c>
      <c r="C4" s="2" t="inlineStr">
        <is>
          <t>Tên / tác giả / thể loại / không tìm thấy</t>
        </is>
      </c>
      <c r="D4" s="2" t="inlineStr">
        <is>
          <t>Header search cần chốt phạm vi trước; không lấy lỗi Header làm FAIL mọi nhánh.</t>
        </is>
      </c>
    </row>
    <row r="5" ht="38" customHeight="1">
      <c r="A5" s="3" t="inlineStr">
        <is>
          <t>BOOK-04, BOOK-05, BOOK-07</t>
        </is>
      </c>
      <c r="B5" s="3" t="inlineStr">
        <is>
          <t>-A/B/C/D</t>
        </is>
      </c>
      <c r="C5" s="3" t="inlineStr">
        <is>
          <t>Đầu sách / bản sao / barcode / khả dụng; dữ liệu thiếu/số lượng; sửa thông tin/tăng bản/barcode cũ</t>
        </is>
      </c>
      <c r="D5" s="3" t="inlineStr">
        <is>
          <t>Chưa thêm testcase con vào bộ44.</t>
        </is>
      </c>
    </row>
    <row r="6" ht="38" customHeight="1">
      <c r="A6" s="2" t="inlineStr">
        <is>
          <t>BOOK-08, BOOK-09</t>
        </is>
      </c>
      <c r="B6" s="2" t="inlineStr">
        <is>
          <t>-A/B/C</t>
        </is>
      </c>
      <c r="C6" s="2" t="inlineStr">
        <is>
          <t>PDF/EPUB/file không hỗ trợ; một tem/toàn bộ tem</t>
        </is>
      </c>
      <c r="D6" s="2" t="inlineStr">
        <is>
          <t>Nhánh file khác trong Manual chỉ yêu cầu ghi nhận lỗi; Expected báo cáo yêu cầu từ chối, cần evidence retest.</t>
        </is>
      </c>
    </row>
    <row r="7" ht="36" customHeight="1">
      <c r="A7" s="3" t="inlineStr">
        <is>
          <t>EXCEL-03</t>
        </is>
      </c>
      <c r="B7" s="3" t="inlineStr">
        <is>
          <t>EXCEL-03-A/B</t>
        </is>
      </c>
      <c r="C7" s="3" t="inlineStr">
        <is>
          <t>Thiếu tiêu đề / ISBN đã tồn tại</t>
        </is>
      </c>
      <c r="D7" s="3" t="inlineStr">
        <is>
          <t>Giữ kỳ vọng bỏ dòng và lý do; khác BOOK-06 gộp bản sao.</t>
        </is>
      </c>
    </row>
    <row r="8" ht="36" customHeight="1">
      <c r="A8" s="2" t="inlineStr">
        <is>
          <t>RES-04, RES-05</t>
        </is>
      </c>
      <c r="B8" s="2" t="inlineStr">
        <is>
          <t>-A/B/C/D</t>
        </is>
      </c>
      <c r="C8" s="2" t="inlineStr">
        <is>
          <t>Tìm/lọc / NOTIFIED / FULFILLED / thông báo; User hủy / Admin hủy</t>
        </is>
      </c>
      <c r="D8" s="2" t="inlineStr">
        <is>
          <t>Luồng mượn/trả chuyển thành viên phụ trách xác nhận riêng.</t>
        </is>
      </c>
    </row>
    <row r="9" ht="36" customHeight="1">
      <c r="A9" s="3" t="inlineStr">
        <is>
          <t>MEM-02, MEM-04, MEM-05</t>
        </is>
      </c>
      <c r="B9" s="3" t="inlineStr">
        <is>
          <t>-A/B/C</t>
        </is>
      </c>
      <c r="C9" s="3" t="inlineStr">
        <is>
          <t>Email hợp lệ/sai; blacklist/gỡ/lọc; ADMIN/PREMIUM</t>
        </is>
      </c>
      <c r="D9" s="3" t="inlineStr">
        <is>
          <t>LECTURER là biến thể đã có evidence; không thay dữ liệu kịch bản gốc.</t>
        </is>
      </c>
    </row>
    <row r="10" ht="36" customHeight="1">
      <c r="A10" s="2" t="inlineStr">
        <is>
          <t>INV-04, INV-05</t>
        </is>
      </c>
      <c r="B10" s="2" t="inlineStr">
        <is>
          <t>-A/B</t>
        </is>
      </c>
      <c r="C10" s="2" t="inlineStr">
        <is>
          <t>Thiếu / bất thường; Excel / PDF</t>
        </is>
      </c>
      <c r="D10" s="2" t="inlineStr">
        <is>
          <t>INV-05 không có tiêu chí font riêng; đề xuất thêm tiêu chí sau BA xác nhận.</t>
        </is>
      </c>
    </row>
    <row r="11" ht="36" customHeight="1">
      <c r="A11" s="3" t="inlineStr">
        <is>
          <t>DASH-01, NOTI-02, SET-01</t>
        </is>
      </c>
      <c r="B11" s="3" t="inlineStr">
        <is>
          <t>-A/B/C/D</t>
        </is>
      </c>
      <c r="C11" s="3" t="inlineStr">
        <is>
          <t>Từng khu Dashboard; đọc một/tất cả/xóa một/tất cả; theme/ngôn ngữ/lưu sau reload</t>
        </is>
      </c>
      <c r="D11" s="3" t="inlineStr">
        <is>
          <t>Không tách hoặc suy trạng thái từng nhánh trong lần chuẩn hóa này.</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F7"/>
  <sheetViews>
    <sheetView zoomScale="85"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0" customWidth="1" min="2" max="2"/>
    <col width="50" customWidth="1" min="3" max="3"/>
    <col width="90" customWidth="1" min="4" max="4"/>
    <col width="59" customWidth="1" min="5" max="5"/>
    <col width="94" customWidth="1" min="6" max="6"/>
  </cols>
  <sheetData>
    <row r="1" ht="32" customHeight="1">
      <c r="A1" s="1" t="inlineStr">
        <is>
          <t>Note ID</t>
        </is>
      </c>
      <c r="B1" s="1" t="inlineStr">
        <is>
          <t>Related Test ID</t>
        </is>
      </c>
      <c r="C1" s="1" t="inlineStr">
        <is>
          <t>Topic</t>
        </is>
      </c>
      <c r="D1" s="1" t="inlineStr">
        <is>
          <t>Tester Note (verbatim)</t>
        </is>
      </c>
      <c r="E1" s="1" t="inlineStr">
        <is>
          <t>Source / Evidence</t>
        </is>
      </c>
      <c r="F1" s="1" t="inlineStr">
        <is>
          <t>QA Note</t>
        </is>
      </c>
    </row>
    <row r="2" ht="36" customHeight="1">
      <c r="A2" s="2" t="inlineStr">
        <is>
          <t>IMP-001</t>
        </is>
      </c>
      <c r="B2" s="2" t="inlineStr">
        <is>
          <t>AUTH-03</t>
        </is>
      </c>
      <c r="C2" s="2" t="inlineStr">
        <is>
          <t>Chữ trắng chìm vào nền trang đăng nhập</t>
        </is>
      </c>
      <c r="D2" s="2" t="inlineStr">
        <is>
          <t>trang đăng nhập màu chữ là màu trắng (chìm vào nền)</t>
        </is>
      </c>
      <c r="E2" s="2" t="inlineStr">
        <is>
          <t>Manual B7; evidence/AUTH-03_rId6_image8.png</t>
        </is>
      </c>
      <c r="F2" s="2" t="inlineStr">
        <is>
          <t>Xác nhận trạng thái theme và yêu cầu khả năng đọc; tách khỏi kết luận hủy phiên.</t>
        </is>
      </c>
    </row>
    <row r="3" ht="53" customHeight="1">
      <c r="A3" s="3" t="inlineStr">
        <is>
          <t>IMP-002</t>
        </is>
      </c>
      <c r="B3" s="3" t="inlineStr">
        <is>
          <t>BOOK-04</t>
        </is>
      </c>
      <c r="C3" s="3" t="inlineStr">
        <is>
          <t>Đơn giản hóa form thêm sách/tự điền NXB</t>
        </is>
      </c>
      <c r="D3" s="3" t="inlineStr">
        <is>
          <t>Bỏ “Còn lại” (sách thêm mới có ai mượn đâu nên không cần còn lại) và “Số trang” (không quan trọng nên có thể lược bỏ). Năm xuất bản và NXB có thể suy ra được từ mã ISBN, nếu được thì thêm chức năng tự fill NXB từ mã ISBN.</t>
        </is>
      </c>
      <c r="E3" s="3" t="inlineStr">
        <is>
          <t>Manual B20; evidence/BOOK-04_rId8_image14.png</t>
        </is>
      </c>
      <c r="F3" s="3" t="inlineStr">
        <is>
          <t>Đây là đề nghị UX/nghiệp vụ. Khả năng suy NXB/năm từ ISBN chưa được kiểm chứng; cần BA/nhóm thống nhất, không thay rule.</t>
        </is>
      </c>
    </row>
    <row r="4" ht="38" customHeight="1">
      <c r="A4" s="2" t="inlineStr">
        <is>
          <t>IMP-003</t>
        </is>
      </c>
      <c r="B4" s="2" t="inlineStr">
        <is>
          <t>MEM-02</t>
        </is>
      </c>
      <c r="C4" s="2" t="inlineStr">
        <is>
          <t>Thiếu dấu * cho trường bắt buộc</t>
        </is>
      </c>
      <c r="D4" s="2" t="inlineStr">
        <is>
          <t xml:space="preserve">(không có dấu * thể hiện các trường thông tin phải nhập, email nhập sai định dạng: không có @, vẫn có thể tạo thành viên được nhưng không đăng nhập được) </t>
        </is>
      </c>
      <c r="E4" s="2" t="inlineStr">
        <is>
          <t>Manual B64; evidence/MEM-02_rId14_image24.png</t>
        </is>
      </c>
      <c r="F4" s="2" t="inlineStr">
        <is>
          <t>Tách ghi chú thiếu dấu * khỏi DEF-001 về email/tài khoản không đăng nhập được.</t>
        </is>
      </c>
    </row>
    <row r="5" ht="36" customHeight="1">
      <c r="A5" s="3" t="inlineStr">
        <is>
          <t>IMP-004</t>
        </is>
      </c>
      <c r="B5" s="3" t="inlineStr">
        <is>
          <t>MEM-04</t>
        </is>
      </c>
      <c r="C5" s="3" t="inlineStr">
        <is>
          <t>Thiếu mục liên hệ Admin khi bị chặn</t>
        </is>
      </c>
      <c r="D5" s="3" t="inlineStr">
        <is>
          <t xml:space="preserve">(bị chặn nhưng không có mục nào để user có thể liên hệ admin để yêu cầu hủy chặn) </t>
        </is>
      </c>
      <c r="E5" s="3" t="inlineStr">
        <is>
          <t>Manual B75; evidence/MEM-04_rId16_image20.png</t>
        </is>
      </c>
      <c r="F5" s="3" t="inlineStr">
        <is>
          <t>Không có yêu cầu kênh liên hệ trong Expected MEM-04; cần thống nhất UX.</t>
        </is>
      </c>
    </row>
    <row r="6" ht="36" customHeight="1">
      <c r="A6" s="2" t="inlineStr">
        <is>
          <t>IMP-005</t>
        </is>
      </c>
      <c r="B6" s="2" t="inlineStr">
        <is>
          <t>INV-04</t>
        </is>
      </c>
      <c r="C6" s="2" t="inlineStr">
        <is>
          <t>Khó đọc kết quả kiểm kê ở chế độ tối</t>
        </is>
      </c>
      <c r="D6" s="2" t="inlineStr">
        <is>
          <t>(chức năng ổn nhưng chế độ tối hơi khó nhìn)</t>
        </is>
      </c>
      <c r="E6" s="2" t="inlineStr">
        <is>
          <t>Manual B105; evidence/INV-04_rId22_image19.png</t>
        </is>
      </c>
      <c r="F6" s="2" t="inlineStr">
        <is>
          <t>Chức năng đối chiếu đã được Tester xác nhận; PASS kèm Improvement Note.</t>
        </is>
      </c>
    </row>
    <row r="7" ht="38" customHeight="1">
      <c r="A7" s="3" t="inlineStr">
        <is>
          <t>IMP-006</t>
        </is>
      </c>
      <c r="B7" s="3" t="inlineStr">
        <is>
          <t>INV-05</t>
        </is>
      </c>
      <c r="C7" s="3" t="inlineStr">
        <is>
          <t>Chất lượng chữ tiếng Việt trong PDF kiểm kê</t>
        </is>
      </c>
      <c r="D7" s="3" t="inlineStr">
        <is>
          <t>(excel ổn nhưng PDF thì không)</t>
        </is>
      </c>
      <c r="E7" s="3" t="inlineStr">
        <is>
          <t>Manual B110; evidence/INV-05_rId24_image4.png</t>
        </is>
      </c>
      <c r="F7" s="3" t="inlineStr">
        <is>
          <t>Liên quan DEF-003, không tạo defect trùng triệu chứng. INV-05 PASS theo Expected hẹp; cần thống nhất yêu cầu Unicode chung.</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2026-10-11T05:55:17Z</dcterms:created>
  <dcterms:modified xmlns:dcterms="http://purl.org/dc/terms/" xmlns:xsi="http://www.w3.org/2001/XMLSchema-instance" xsi:type="dcterms:W3CDTF">2026-10-11T05:55:17Z</dcterms:modified>
</cp:coreProperties>
</file>